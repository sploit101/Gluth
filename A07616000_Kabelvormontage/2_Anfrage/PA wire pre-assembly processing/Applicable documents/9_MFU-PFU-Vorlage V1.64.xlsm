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draexlmaier.sharepoint.com/sites/org_LM_HV/Shared Documents/03_Team Satu Mare/98_Specialists/0_Equipment development/1_Documents/0_Documents to send for ordering/Doc_Conexe_CS_LH_2024/"/>
    </mc:Choice>
  </mc:AlternateContent>
  <xr:revisionPtr revIDLastSave="0" documentId="8_{979E5E9D-14F4-4DC3-8213-D4F25CABE37B}" xr6:coauthVersionLast="47" xr6:coauthVersionMax="47" xr10:uidLastSave="{00000000-0000-0000-0000-000000000000}"/>
  <workbookProtection workbookPassword="CDFE" lockStructure="1"/>
  <bookViews>
    <workbookView xWindow="-120" yWindow="-120" windowWidth="29040" windowHeight="17640" tabRatio="515" xr2:uid="{00000000-000D-0000-FFFF-FFFF00000000}"/>
  </bookViews>
  <sheets>
    <sheet name="Eingabe und Diagramm" sheetId="1" r:id="rId1"/>
    <sheet name="Berechnung" sheetId="2" state="hidden" r:id="rId2"/>
    <sheet name="Änderungshistorie" sheetId="3" r:id="rId3"/>
  </sheets>
  <definedNames>
    <definedName name="Anzahl">Berechnung!$P$21</definedName>
    <definedName name="BEOBPOGW">Berechnung!$P$43</definedName>
    <definedName name="BEOBPPM">Berechnung!$P$42</definedName>
    <definedName name="BEOBPUGW">Berechnung!$P$42</definedName>
    <definedName name="BERP">Berechnung!$P$39</definedName>
    <definedName name="BERPOGW">Berechnung!$P$38</definedName>
    <definedName name="BERPUGW">Berechnung!$P$37</definedName>
    <definedName name="CP">Berechnung!$P$28</definedName>
    <definedName name="CPK">Berechnung!$P$29</definedName>
    <definedName name="CPO">Berechnung!$P$27</definedName>
    <definedName name="CPU">Berechnung!$P$26</definedName>
    <definedName name="Datum">'Eingabe und Diagramm'!#REF!</definedName>
    <definedName name="ISFOXAutomaticLabelingDisabled" hidden="1">"True"</definedName>
    <definedName name="ISFOXClassificationHistory_0" hidden="1">"DOMFGDVB\bd07442;d4c75f49-f1ee-485c-aa75-2c54e2ab5223;Internal;2016-12-07T13:10:32;;DRX|"</definedName>
    <definedName name="ISFOXClassificationId" hidden="1">"d4c75f49-f1ee-485c-aa75-2c54e2ab5223"</definedName>
    <definedName name="ISFOXClassificationInKeywords" hidden="1">"Internal"</definedName>
    <definedName name="ISFOXClassificationName" hidden="1">"Internal"</definedName>
    <definedName name="ISFOXDocumentClassificationVersion" hidden="1">3</definedName>
    <definedName name="ISFOXLabelingDefaultPosition">"FooterLeft"</definedName>
    <definedName name="ISFOXLabelingVisibleInDocument" hidden="1">"True"</definedName>
    <definedName name="ISFOXOldClassificationId" hidden="1">"00000000-0000-0000-0000-000000000000"</definedName>
    <definedName name="ISFOXOldClassificationIdBackup" hidden="1">"00000000-0000-0000-0000-000000000000"</definedName>
    <definedName name="ISFOXPrefix" hidden="1">"DRX"</definedName>
    <definedName name="ISFOXPreviousClassificationId" hidden="1">"d4c75f49-f1ee-485c-aa75-2c54e2ab5223"</definedName>
    <definedName name="ISFOXSaveAsProcess" hidden="1">"True"</definedName>
    <definedName name="ISFOXShowClassificationRequestWindow" hidden="1">"False"</definedName>
    <definedName name="ISFOXVersionHistoryCount" hidden="1">1</definedName>
    <definedName name="ISFOXVersioningChanged" hidden="1">"False"</definedName>
    <definedName name="ISFOXWorkbookInitialized" hidden="1">"True"</definedName>
    <definedName name="Maßeinheit">'Eingabe und Diagramm'!$P$12</definedName>
    <definedName name="Maximum">Berechnung!$P$34</definedName>
    <definedName name="Median">Berechnung!$P$31</definedName>
    <definedName name="Merkmal">'Eingabe und Diagramm'!$P$10</definedName>
    <definedName name="Merkman">'Eingabe und Diagramm'!$P$10</definedName>
    <definedName name="Messkriterien">Berechnung!$S$45:$S$52</definedName>
    <definedName name="Minimum">Berechnung!$P$33</definedName>
    <definedName name="Mittelwert">Berechnung!$P$22</definedName>
    <definedName name="OGW">'Eingabe und Diagramm'!$P$15</definedName>
    <definedName name="P">Berechnung!$P$39</definedName>
    <definedName name="POGW">Berechnung!$P$38</definedName>
    <definedName name="_xlnm.Print_Area" localSheetId="1">Berechnung!$A$1:$Z$55</definedName>
    <definedName name="_xlnm.Print_Area" localSheetId="0">'Eingabe und Diagramm'!$M$1:$Z$45</definedName>
    <definedName name="Prüfer">Berechnung!$S$4:$S$43</definedName>
    <definedName name="PUGW">Berechnung!$P$37</definedName>
    <definedName name="Sollwert">'Eingabe und Diagramm'!$P$13</definedName>
    <definedName name="Spannweite">Berechnung!$P$32</definedName>
    <definedName name="Standardabweichung">Berechnung!$P$23</definedName>
    <definedName name="Toleranzen">Berechnung!$S$53:$S$54</definedName>
    <definedName name="UGW">'Eingabe und Diagramm'!$P$14</definedName>
    <definedName name="UGWd">'Eingabe und Diagramm'!$P$14</definedName>
    <definedName name="Z_CAFC3889_2B2E_4ACE_8E07_6B5287B49573_.wvu.PrintArea" localSheetId="1" hidden="1">Berechnung!$A$1:$Z$55</definedName>
    <definedName name="Z_CAFC3889_2B2E_4ACE_8E07_6B5287B49573_.wvu.PrintArea" localSheetId="0" hidden="1">'Eingabe und Diagramm'!$M$1:$Z$45</definedName>
    <definedName name="Z_DD55A657_ECA8_4269_A774_673A49CE864D_.wvu.PrintArea" localSheetId="1" hidden="1">Berechnung!$A$1:$Z$55</definedName>
    <definedName name="Z_DD55A657_ECA8_4269_A774_673A49CE864D_.wvu.PrintArea" localSheetId="0" hidden="1">'Eingabe und Diagramm'!$A$1:$Z$55</definedName>
  </definedNames>
  <calcPr calcId="191029"/>
  <customWorkbookViews>
    <customWorkbookView name="Altmann Johann BRA-PCC529 - Persönliche Ansicht" guid="{CAFC3889-2B2E-4ACE-8E07-6B5287B49573}" mergeInterval="0" personalView="1" maximized="1" xWindow="1" yWindow="1" windowWidth="1596" windowHeight="680" activeSheetId="1" showComments="commIndAndComment"/>
    <customWorkbookView name="josial - Persönliche Ansicht" guid="{DD55A657-ECA8-4269-A774-673A49CE864D}" mergeInterval="0" personalView="1" maximized="1" windowWidth="1276" windowHeight="799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4" i="2" l="1"/>
  <c r="F54" i="2"/>
  <c r="C54" i="2"/>
  <c r="I53" i="2"/>
  <c r="F53" i="2"/>
  <c r="C53" i="2"/>
  <c r="I52" i="2"/>
  <c r="F52" i="2"/>
  <c r="C52" i="2"/>
  <c r="I51" i="2"/>
  <c r="F51" i="2"/>
  <c r="C51" i="2"/>
  <c r="I50" i="2"/>
  <c r="F50" i="2"/>
  <c r="C50" i="2"/>
  <c r="I49" i="2"/>
  <c r="F49" i="2"/>
  <c r="C49" i="2"/>
  <c r="I48" i="2"/>
  <c r="F48" i="2"/>
  <c r="C48" i="2"/>
  <c r="I47" i="2"/>
  <c r="F47" i="2"/>
  <c r="C47" i="2"/>
  <c r="I46" i="2"/>
  <c r="F46" i="2"/>
  <c r="C46" i="2"/>
  <c r="I45" i="2"/>
  <c r="F45" i="2"/>
  <c r="C45" i="2"/>
  <c r="I44" i="2"/>
  <c r="F44" i="2"/>
  <c r="C44" i="2"/>
  <c r="I43" i="2"/>
  <c r="F43" i="2"/>
  <c r="C43" i="2"/>
  <c r="I42" i="2"/>
  <c r="F42" i="2"/>
  <c r="C42" i="2"/>
  <c r="I41" i="2"/>
  <c r="F41" i="2"/>
  <c r="C41" i="2"/>
  <c r="I40" i="2"/>
  <c r="F40" i="2"/>
  <c r="C40" i="2"/>
  <c r="I39" i="2"/>
  <c r="F39" i="2"/>
  <c r="C39" i="2"/>
  <c r="I38" i="2"/>
  <c r="F38" i="2"/>
  <c r="C38" i="2"/>
  <c r="I37" i="2"/>
  <c r="F37" i="2"/>
  <c r="C37" i="2"/>
  <c r="I36" i="2"/>
  <c r="F36" i="2"/>
  <c r="C36" i="2"/>
  <c r="I35" i="2"/>
  <c r="F35" i="2"/>
  <c r="C35" i="2"/>
  <c r="I34" i="2"/>
  <c r="F34" i="2"/>
  <c r="C34" i="2"/>
  <c r="I33" i="2"/>
  <c r="F33" i="2"/>
  <c r="C33" i="2"/>
  <c r="I32" i="2"/>
  <c r="F32" i="2"/>
  <c r="C32" i="2"/>
  <c r="I31" i="2"/>
  <c r="F31" i="2"/>
  <c r="C31" i="2"/>
  <c r="I30" i="2"/>
  <c r="F30" i="2"/>
  <c r="C30" i="2"/>
  <c r="I29" i="2"/>
  <c r="F29" i="2"/>
  <c r="C29" i="2"/>
  <c r="I28" i="2"/>
  <c r="F28" i="2"/>
  <c r="C28" i="2"/>
  <c r="I27" i="2"/>
  <c r="F27" i="2"/>
  <c r="C27" i="2"/>
  <c r="I26" i="2"/>
  <c r="F26" i="2"/>
  <c r="C26" i="2"/>
  <c r="I25" i="2"/>
  <c r="F25" i="2"/>
  <c r="C25" i="2"/>
  <c r="I24" i="2"/>
  <c r="F24" i="2"/>
  <c r="C24" i="2"/>
  <c r="I23" i="2"/>
  <c r="F23" i="2"/>
  <c r="C23" i="2"/>
  <c r="I22" i="2"/>
  <c r="F22" i="2"/>
  <c r="C22" i="2"/>
  <c r="I21" i="2"/>
  <c r="F21" i="2"/>
  <c r="C21" i="2"/>
  <c r="I20" i="2"/>
  <c r="F20" i="2"/>
  <c r="C20" i="2"/>
  <c r="I19" i="2"/>
  <c r="F19" i="2"/>
  <c r="C19" i="2"/>
  <c r="I18" i="2"/>
  <c r="F18" i="2"/>
  <c r="C18" i="2"/>
  <c r="I17" i="2"/>
  <c r="F17" i="2"/>
  <c r="C17" i="2"/>
  <c r="I16" i="2"/>
  <c r="F16" i="2"/>
  <c r="C16" i="2"/>
  <c r="I15" i="2"/>
  <c r="F15" i="2"/>
  <c r="C15" i="2"/>
  <c r="I14" i="2"/>
  <c r="F14" i="2"/>
  <c r="C14" i="2"/>
  <c r="I13" i="2"/>
  <c r="F13" i="2"/>
  <c r="C13" i="2"/>
  <c r="I12" i="2"/>
  <c r="F12" i="2"/>
  <c r="C12" i="2"/>
  <c r="I11" i="2"/>
  <c r="F11" i="2"/>
  <c r="C11" i="2"/>
  <c r="I10" i="2"/>
  <c r="F10" i="2"/>
  <c r="C10" i="2"/>
  <c r="I9" i="2"/>
  <c r="F9" i="2"/>
  <c r="C9" i="2"/>
  <c r="I8" i="2"/>
  <c r="F8" i="2"/>
  <c r="C8" i="2"/>
  <c r="I7" i="2"/>
  <c r="F7" i="2"/>
  <c r="C7" i="2"/>
  <c r="I6" i="2"/>
  <c r="F6" i="2"/>
  <c r="C6" i="2"/>
  <c r="I5" i="2"/>
  <c r="F5" i="2"/>
  <c r="C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P12" i="1" l="1"/>
  <c r="Y10" i="1"/>
  <c r="Y22" i="1"/>
  <c r="AL4" i="2"/>
  <c r="AK4" i="2"/>
  <c r="Q32" i="1"/>
  <c r="P14" i="2" l="1"/>
  <c r="O11" i="2"/>
  <c r="O10" i="2"/>
  <c r="O8" i="2"/>
  <c r="O9" i="2"/>
  <c r="P17" i="2"/>
  <c r="O12" i="2"/>
  <c r="AI4" i="2"/>
  <c r="AJ4" i="2"/>
  <c r="AY5" i="2"/>
  <c r="AY6" i="2"/>
  <c r="AY7" i="2"/>
  <c r="AY8" i="2"/>
  <c r="AY9" i="2"/>
  <c r="AY10" i="2"/>
  <c r="AY11" i="2"/>
  <c r="AY12" i="2"/>
  <c r="AY13" i="2"/>
  <c r="AY14" i="2"/>
  <c r="P15" i="2"/>
  <c r="AY15" i="2"/>
  <c r="P16" i="2"/>
  <c r="AY16" i="2"/>
  <c r="AW21" i="2"/>
  <c r="AV24" i="2"/>
  <c r="AV25" i="2"/>
  <c r="AR47" i="2"/>
  <c r="AR54" i="2" l="1"/>
  <c r="AR49" i="2"/>
  <c r="AR35" i="2"/>
  <c r="P19" i="2"/>
  <c r="AR45" i="2"/>
  <c r="AW19" i="2"/>
  <c r="AR51" i="2"/>
  <c r="AR36" i="2"/>
  <c r="AR25" i="2"/>
  <c r="AR40" i="2"/>
  <c r="AR41" i="2"/>
  <c r="AR19" i="2"/>
  <c r="AR30" i="2"/>
  <c r="AR13" i="2"/>
  <c r="AR50" i="2"/>
  <c r="AR20" i="2"/>
  <c r="AR9" i="2"/>
  <c r="AR53" i="2"/>
  <c r="AR52" i="2"/>
  <c r="AR29" i="2"/>
  <c r="AR28" i="2"/>
  <c r="AR24" i="2"/>
  <c r="AR23" i="2"/>
  <c r="AR11" i="2"/>
  <c r="AR7" i="2"/>
  <c r="AR46" i="2"/>
  <c r="AR27" i="2"/>
  <c r="AR26" i="2"/>
  <c r="AR22" i="2"/>
  <c r="AR14" i="2"/>
  <c r="AR12" i="2"/>
  <c r="AR10" i="2"/>
  <c r="AR8" i="2"/>
  <c r="AR6" i="2"/>
  <c r="AR48" i="2"/>
  <c r="AR16" i="2"/>
  <c r="AR44" i="2"/>
  <c r="AR43" i="2"/>
  <c r="AR42" i="2"/>
  <c r="AR39" i="2"/>
  <c r="AR38" i="2"/>
  <c r="AR37" i="2"/>
  <c r="AR34" i="2"/>
  <c r="AR33" i="2"/>
  <c r="AR32" i="2"/>
  <c r="AR31" i="2"/>
  <c r="AR21" i="2"/>
  <c r="AR18" i="2"/>
  <c r="AR17" i="2"/>
  <c r="AR15" i="2"/>
  <c r="V77" i="2" l="1"/>
  <c r="AQ22" i="2" l="1"/>
  <c r="AQ43" i="2"/>
  <c r="AQ40" i="2"/>
  <c r="AQ37" i="2"/>
  <c r="AQ39" i="2"/>
  <c r="AQ29" i="2"/>
  <c r="AQ25" i="2"/>
  <c r="AQ8" i="2"/>
  <c r="AQ35" i="2"/>
  <c r="AQ19" i="2"/>
  <c r="AQ7" i="2"/>
  <c r="AQ47" i="2"/>
  <c r="AQ21" i="2"/>
  <c r="AQ36" i="2"/>
  <c r="AQ10" i="2"/>
  <c r="AQ53" i="2"/>
  <c r="AQ11" i="2"/>
  <c r="AQ49" i="2"/>
  <c r="AQ27" i="2"/>
  <c r="AQ16" i="2"/>
  <c r="AQ18" i="2"/>
  <c r="AQ23" i="2"/>
  <c r="AQ33" i="2"/>
  <c r="AQ31" i="2"/>
  <c r="AQ24" i="2"/>
  <c r="AQ20" i="2"/>
  <c r="AQ48" i="2"/>
  <c r="AQ46" i="2"/>
  <c r="AQ34" i="2"/>
  <c r="AQ44" i="2"/>
  <c r="AQ15" i="2"/>
  <c r="P18" i="2"/>
  <c r="AQ9" i="2"/>
  <c r="AQ30" i="2"/>
  <c r="AQ52" i="2"/>
  <c r="AQ6" i="2"/>
  <c r="AQ26" i="2"/>
  <c r="AQ14" i="2"/>
  <c r="AQ32" i="2"/>
  <c r="AQ42" i="2"/>
  <c r="AQ41" i="2"/>
  <c r="AQ45" i="2"/>
  <c r="AQ28" i="2"/>
  <c r="AQ13" i="2"/>
  <c r="AQ12" i="2"/>
  <c r="AQ38" i="2"/>
  <c r="AQ17" i="2"/>
  <c r="AW20" i="2"/>
  <c r="AQ50" i="2"/>
  <c r="AQ51" i="2"/>
  <c r="AQ54" i="2"/>
  <c r="V78" i="2" l="1"/>
  <c r="AH5" i="2" l="1"/>
  <c r="AF5" i="2"/>
  <c r="AQ5" i="2"/>
  <c r="AR5" i="2"/>
  <c r="AG5" i="2"/>
  <c r="AF6" i="2" l="1"/>
  <c r="AG6" i="2"/>
  <c r="AF7" i="2" l="1"/>
  <c r="AF8" i="2" s="1"/>
  <c r="AF9" i="2" s="1"/>
  <c r="AF10" i="2" s="1"/>
  <c r="AF11" i="2" s="1"/>
  <c r="AF12" i="2" s="1"/>
  <c r="AF13" i="2" s="1"/>
  <c r="AF14" i="2" s="1"/>
  <c r="AF15" i="2" s="1"/>
  <c r="AF16" i="2" s="1"/>
  <c r="AF17" i="2" s="1"/>
  <c r="AF18" i="2" s="1"/>
  <c r="AF19" i="2" s="1"/>
  <c r="AF20" i="2" s="1"/>
  <c r="AF21" i="2" s="1"/>
  <c r="AF22" i="2" s="1"/>
  <c r="AF23" i="2" s="1"/>
  <c r="AF24" i="2" s="1"/>
  <c r="AF25" i="2" s="1"/>
  <c r="AF26" i="2" s="1"/>
  <c r="AF27" i="2" s="1"/>
  <c r="AF28" i="2" s="1"/>
  <c r="AF29" i="2" s="1"/>
  <c r="AF30" i="2" s="1"/>
  <c r="AF31" i="2" s="1"/>
  <c r="AF32" i="2" s="1"/>
  <c r="AF33" i="2" s="1"/>
  <c r="AF34" i="2" s="1"/>
  <c r="AF35" i="2" s="1"/>
  <c r="AF36" i="2" s="1"/>
  <c r="AF37" i="2" s="1"/>
  <c r="AF38" i="2" s="1"/>
  <c r="AF39" i="2" s="1"/>
  <c r="AF40" i="2" s="1"/>
  <c r="AF41" i="2" s="1"/>
  <c r="AF42" i="2" s="1"/>
  <c r="AF43" i="2" s="1"/>
  <c r="AF44" i="2" s="1"/>
  <c r="AF45" i="2" s="1"/>
  <c r="AF46" i="2" s="1"/>
  <c r="AF47" i="2" s="1"/>
  <c r="AF48" i="2" s="1"/>
  <c r="AF49" i="2" s="1"/>
  <c r="AF50" i="2" s="1"/>
  <c r="AF51" i="2" s="1"/>
  <c r="AF52" i="2" s="1"/>
  <c r="AF53" i="2" s="1"/>
  <c r="AF54" i="2" s="1"/>
  <c r="AG7" i="2"/>
  <c r="AG8" i="2" s="1"/>
  <c r="AG9" i="2" s="1"/>
  <c r="AG10" i="2" s="1"/>
  <c r="AG11" i="2" s="1"/>
  <c r="AG12" i="2" s="1"/>
  <c r="AG13" i="2" s="1"/>
  <c r="AG14" i="2" s="1"/>
  <c r="AG15" i="2" s="1"/>
  <c r="AG16" i="2" s="1"/>
  <c r="AG17" i="2" s="1"/>
  <c r="AG18" i="2" s="1"/>
  <c r="AG19" i="2" s="1"/>
  <c r="AG20" i="2" s="1"/>
  <c r="AG21" i="2" s="1"/>
  <c r="AG22" i="2" s="1"/>
  <c r="AG23" i="2" s="1"/>
  <c r="AG24" i="2" s="1"/>
  <c r="AG25" i="2" s="1"/>
  <c r="AG26" i="2" s="1"/>
  <c r="AG27" i="2" s="1"/>
  <c r="AG28" i="2" s="1"/>
  <c r="AG29" i="2" s="1"/>
  <c r="AG30" i="2" s="1"/>
  <c r="AG31" i="2" s="1"/>
  <c r="AG32" i="2" s="1"/>
  <c r="AG33" i="2" s="1"/>
  <c r="AG34" i="2" s="1"/>
  <c r="AG35" i="2" s="1"/>
  <c r="AG36" i="2" s="1"/>
  <c r="AG37" i="2" s="1"/>
  <c r="AG38" i="2" s="1"/>
  <c r="AG39" i="2" s="1"/>
  <c r="AG40" i="2" s="1"/>
  <c r="AG41" i="2" s="1"/>
  <c r="AG42" i="2" s="1"/>
  <c r="AG43" i="2" s="1"/>
  <c r="AG44" i="2" s="1"/>
  <c r="AG45" i="2" s="1"/>
  <c r="AG46" i="2" s="1"/>
  <c r="AG47" i="2" s="1"/>
  <c r="AG48" i="2" s="1"/>
  <c r="AG49" i="2" s="1"/>
  <c r="AG50" i="2" s="1"/>
  <c r="AG51" i="2" s="1"/>
  <c r="AG52" i="2" s="1"/>
  <c r="AG53" i="2" s="1"/>
  <c r="AG54" i="2" s="1"/>
  <c r="C104" i="2" l="1"/>
  <c r="AR104" i="2" s="1"/>
  <c r="C100" i="2"/>
  <c r="AR100" i="2" s="1"/>
  <c r="C96" i="2"/>
  <c r="C92" i="2"/>
  <c r="C88" i="2"/>
  <c r="AQ88" i="2" s="1"/>
  <c r="C84" i="2"/>
  <c r="C80" i="2"/>
  <c r="AQ80" i="2" s="1"/>
  <c r="C76" i="2"/>
  <c r="C72" i="2"/>
  <c r="C68" i="2"/>
  <c r="AR68" i="2" s="1"/>
  <c r="C64" i="2"/>
  <c r="C60" i="2"/>
  <c r="AR60" i="2" s="1"/>
  <c r="C56" i="2"/>
  <c r="C99" i="2"/>
  <c r="C97" i="2"/>
  <c r="C90" i="2"/>
  <c r="C83" i="2"/>
  <c r="C81" i="2"/>
  <c r="C74" i="2"/>
  <c r="C67" i="2"/>
  <c r="C65" i="2"/>
  <c r="AQ65" i="2" s="1"/>
  <c r="C58" i="2"/>
  <c r="C103" i="2"/>
  <c r="AR103" i="2" s="1"/>
  <c r="C101" i="2"/>
  <c r="AQ101" i="2" s="1"/>
  <c r="C94" i="2"/>
  <c r="AQ94" i="2" s="1"/>
  <c r="C87" i="2"/>
  <c r="C85" i="2"/>
  <c r="AR85" i="2" s="1"/>
  <c r="C78" i="2"/>
  <c r="C71" i="2"/>
  <c r="AR71" i="2" s="1"/>
  <c r="C69" i="2"/>
  <c r="C62" i="2"/>
  <c r="AR62" i="2" s="1"/>
  <c r="C98" i="2"/>
  <c r="C91" i="2"/>
  <c r="AR91" i="2" s="1"/>
  <c r="C73" i="2"/>
  <c r="AR73" i="2" s="1"/>
  <c r="C66" i="2"/>
  <c r="AQ66" i="2" s="1"/>
  <c r="C59" i="2"/>
  <c r="C93" i="2"/>
  <c r="C86" i="2"/>
  <c r="C79" i="2"/>
  <c r="C61" i="2"/>
  <c r="C63" i="2"/>
  <c r="C57" i="2"/>
  <c r="C102" i="2"/>
  <c r="AR102" i="2" s="1"/>
  <c r="C89" i="2"/>
  <c r="C82" i="2"/>
  <c r="C75" i="2"/>
  <c r="C77" i="2"/>
  <c r="C70" i="2"/>
  <c r="C95" i="2"/>
  <c r="C55" i="2"/>
  <c r="AQ95" i="2" l="1"/>
  <c r="AR95" i="2"/>
  <c r="AQ86" i="2"/>
  <c r="AR86" i="2"/>
  <c r="AG55" i="2"/>
  <c r="AG56" i="2" s="1"/>
  <c r="AG57" i="2" s="1"/>
  <c r="AG58" i="2" s="1"/>
  <c r="AG59" i="2" s="1"/>
  <c r="AG60" i="2" s="1"/>
  <c r="AG61" i="2" s="1"/>
  <c r="AG62" i="2" s="1"/>
  <c r="AG63" i="2" s="1"/>
  <c r="AG64" i="2" s="1"/>
  <c r="AG65" i="2" s="1"/>
  <c r="AG66" i="2" s="1"/>
  <c r="AG67" i="2" s="1"/>
  <c r="AG68" i="2" s="1"/>
  <c r="AG69" i="2" s="1"/>
  <c r="AG70" i="2" s="1"/>
  <c r="AG71" i="2" s="1"/>
  <c r="AG72" i="2" s="1"/>
  <c r="AG73" i="2" s="1"/>
  <c r="AG74" i="2" s="1"/>
  <c r="AG75" i="2" s="1"/>
  <c r="AG76" i="2" s="1"/>
  <c r="AG77" i="2" s="1"/>
  <c r="AG78" i="2" s="1"/>
  <c r="AG79" i="2" s="1"/>
  <c r="AG80" i="2" s="1"/>
  <c r="AG81" i="2" s="1"/>
  <c r="AG82" i="2" s="1"/>
  <c r="AG83" i="2" s="1"/>
  <c r="AG84" i="2" s="1"/>
  <c r="AG85" i="2" s="1"/>
  <c r="AG86" i="2" s="1"/>
  <c r="AG87" i="2" s="1"/>
  <c r="AG88" i="2" s="1"/>
  <c r="AG89" i="2" s="1"/>
  <c r="AG90" i="2" s="1"/>
  <c r="AG91" i="2" s="1"/>
  <c r="AG92" i="2" s="1"/>
  <c r="AG93" i="2" s="1"/>
  <c r="AG94" i="2" s="1"/>
  <c r="AG95" i="2" s="1"/>
  <c r="AG96" i="2" s="1"/>
  <c r="AG97" i="2" s="1"/>
  <c r="AG98" i="2" s="1"/>
  <c r="AG99" i="2" s="1"/>
  <c r="AG100" i="2" s="1"/>
  <c r="AG101" i="2" s="1"/>
  <c r="AG102" i="2" s="1"/>
  <c r="AG103" i="2" s="1"/>
  <c r="AG104" i="2" s="1"/>
  <c r="AR55" i="2"/>
  <c r="AQ55" i="2"/>
  <c r="AF55" i="2"/>
  <c r="AF56" i="2" s="1"/>
  <c r="AF57" i="2" s="1"/>
  <c r="AF58" i="2" s="1"/>
  <c r="AF59" i="2" s="1"/>
  <c r="AF60" i="2" s="1"/>
  <c r="AF61" i="2" s="1"/>
  <c r="AF62" i="2" s="1"/>
  <c r="AF63" i="2" s="1"/>
  <c r="AF64" i="2" s="1"/>
  <c r="AF65" i="2" s="1"/>
  <c r="AF66" i="2" s="1"/>
  <c r="AF67" i="2" s="1"/>
  <c r="AF68" i="2" s="1"/>
  <c r="AF69" i="2" s="1"/>
  <c r="AF70" i="2" s="1"/>
  <c r="AF71" i="2" s="1"/>
  <c r="AF72" i="2" s="1"/>
  <c r="AF73" i="2" s="1"/>
  <c r="AF74" i="2" s="1"/>
  <c r="AF75" i="2" s="1"/>
  <c r="AF76" i="2" s="1"/>
  <c r="AF77" i="2" s="1"/>
  <c r="AF78" i="2" s="1"/>
  <c r="AF79" i="2" s="1"/>
  <c r="AF80" i="2" s="1"/>
  <c r="AF81" i="2" s="1"/>
  <c r="AF82" i="2" s="1"/>
  <c r="AF83" i="2" s="1"/>
  <c r="AF84" i="2" s="1"/>
  <c r="AF85" i="2" s="1"/>
  <c r="AF86" i="2" s="1"/>
  <c r="AF87" i="2" s="1"/>
  <c r="AF88" i="2" s="1"/>
  <c r="AF89" i="2" s="1"/>
  <c r="AF90" i="2" s="1"/>
  <c r="AF91" i="2" s="1"/>
  <c r="AF92" i="2" s="1"/>
  <c r="AF93" i="2" s="1"/>
  <c r="AF94" i="2" s="1"/>
  <c r="AF95" i="2" s="1"/>
  <c r="AF96" i="2" s="1"/>
  <c r="AF97" i="2" s="1"/>
  <c r="AF98" i="2" s="1"/>
  <c r="AF99" i="2" s="1"/>
  <c r="AF100" i="2" s="1"/>
  <c r="AF101" i="2" s="1"/>
  <c r="AF102" i="2" s="1"/>
  <c r="AF103" i="2" s="1"/>
  <c r="AF104" i="2" s="1"/>
  <c r="AR82" i="2"/>
  <c r="AQ82" i="2"/>
  <c r="AQ59" i="2"/>
  <c r="AR59" i="2"/>
  <c r="AR98" i="2"/>
  <c r="AQ98" i="2"/>
  <c r="AR77" i="2"/>
  <c r="AQ77" i="2"/>
  <c r="AR79" i="2"/>
  <c r="AQ79" i="2"/>
  <c r="AQ58" i="2"/>
  <c r="AR58" i="2"/>
  <c r="AQ81" i="2"/>
  <c r="AR81" i="2"/>
  <c r="AQ99" i="2"/>
  <c r="AR99" i="2"/>
  <c r="AQ60" i="2"/>
  <c r="AR76" i="2"/>
  <c r="AQ76" i="2"/>
  <c r="AQ92" i="2"/>
  <c r="AR92" i="2"/>
  <c r="AR70" i="2"/>
  <c r="AQ70" i="2"/>
  <c r="AR89" i="2"/>
  <c r="AQ78" i="2"/>
  <c r="AR78" i="2"/>
  <c r="AR101" i="2"/>
  <c r="AR74" i="2"/>
  <c r="AQ74" i="2"/>
  <c r="AR97" i="2"/>
  <c r="AQ97" i="2"/>
  <c r="AQ89" i="2"/>
  <c r="AR57" i="2"/>
  <c r="AQ93" i="2"/>
  <c r="AQ64" i="2"/>
  <c r="AR64" i="2"/>
  <c r="AR80" i="2"/>
  <c r="AQ96" i="2"/>
  <c r="AR96" i="2"/>
  <c r="AR93" i="2"/>
  <c r="AR75" i="2"/>
  <c r="AQ102" i="2"/>
  <c r="AQ63" i="2"/>
  <c r="AQ61" i="2"/>
  <c r="AR61" i="2"/>
  <c r="AQ91" i="2"/>
  <c r="AQ71" i="2"/>
  <c r="AR94" i="2"/>
  <c r="AR63" i="2"/>
  <c r="AQ75" i="2"/>
  <c r="AQ57" i="2"/>
  <c r="AQ73" i="2"/>
  <c r="AR69" i="2"/>
  <c r="AQ67" i="2"/>
  <c r="AR67" i="2"/>
  <c r="AR90" i="2"/>
  <c r="AR56" i="2"/>
  <c r="AQ72" i="2"/>
  <c r="AR88" i="2"/>
  <c r="AQ104" i="2"/>
  <c r="AQ90" i="2"/>
  <c r="AR87" i="2"/>
  <c r="AQ56" i="2"/>
  <c r="AR66" i="2"/>
  <c r="AQ62" i="2"/>
  <c r="AQ85" i="2"/>
  <c r="AQ103" i="2"/>
  <c r="AR65" i="2"/>
  <c r="AQ83" i="2"/>
  <c r="AR83" i="2"/>
  <c r="AQ68" i="2"/>
  <c r="AR84" i="2"/>
  <c r="AQ100" i="2"/>
  <c r="AQ84" i="2"/>
  <c r="AQ87" i="2"/>
  <c r="AR72" i="2"/>
  <c r="AQ69" i="2"/>
  <c r="C152" i="2"/>
  <c r="AR152" i="2" s="1"/>
  <c r="C136" i="2"/>
  <c r="AR136" i="2" s="1"/>
  <c r="C120" i="2"/>
  <c r="AR120" i="2" s="1"/>
  <c r="C147" i="2"/>
  <c r="C129" i="2"/>
  <c r="AQ129" i="2" s="1"/>
  <c r="C106" i="2"/>
  <c r="AQ106" i="2" s="1"/>
  <c r="C130" i="2"/>
  <c r="AQ130" i="2" s="1"/>
  <c r="C151" i="2"/>
  <c r="AR151" i="2" s="1"/>
  <c r="C133" i="2"/>
  <c r="C110" i="2"/>
  <c r="AR110" i="2" s="1"/>
  <c r="C125" i="2"/>
  <c r="C148" i="2"/>
  <c r="C116" i="2"/>
  <c r="C144" i="2"/>
  <c r="AQ144" i="2" s="1"/>
  <c r="C112" i="2"/>
  <c r="AQ112" i="2" s="1"/>
  <c r="C138" i="2"/>
  <c r="AR138" i="2" s="1"/>
  <c r="C142" i="2"/>
  <c r="AR142" i="2" s="1"/>
  <c r="C132" i="2"/>
  <c r="C117" i="2"/>
  <c r="C139" i="2"/>
  <c r="AR139" i="2" s="1"/>
  <c r="C115" i="2"/>
  <c r="AR115" i="2" s="1"/>
  <c r="C119" i="2"/>
  <c r="AR119" i="2" s="1"/>
  <c r="C131" i="2"/>
  <c r="AR131" i="2" s="1"/>
  <c r="C145" i="2"/>
  <c r="C108" i="2"/>
  <c r="C149" i="2"/>
  <c r="AQ149" i="2" s="1"/>
  <c r="C118" i="2"/>
  <c r="C123" i="2"/>
  <c r="AR123" i="2" s="1"/>
  <c r="C121" i="2"/>
  <c r="C150" i="2"/>
  <c r="C135" i="2"/>
  <c r="AR135" i="2" s="1"/>
  <c r="C137" i="2"/>
  <c r="AR137" i="2" s="1"/>
  <c r="C113" i="2"/>
  <c r="AR113" i="2" s="1"/>
  <c r="C153" i="2"/>
  <c r="AQ153" i="2" s="1"/>
  <c r="C141" i="2"/>
  <c r="C107" i="2"/>
  <c r="AQ107" i="2" s="1"/>
  <c r="C146" i="2"/>
  <c r="AR146" i="2" s="1"/>
  <c r="C126" i="2"/>
  <c r="AQ126" i="2" s="1"/>
  <c r="C127" i="2"/>
  <c r="AR127" i="2" s="1"/>
  <c r="C143" i="2"/>
  <c r="C134" i="2"/>
  <c r="C140" i="2"/>
  <c r="C128" i="2"/>
  <c r="C111" i="2"/>
  <c r="C154" i="2"/>
  <c r="C124" i="2"/>
  <c r="C114" i="2"/>
  <c r="C109" i="2"/>
  <c r="C122" i="2"/>
  <c r="C105" i="2"/>
  <c r="AR105" i="2" s="1"/>
  <c r="AQ142" i="2" l="1"/>
  <c r="AQ110" i="2"/>
  <c r="AQ105" i="2"/>
  <c r="AR130" i="2"/>
  <c r="AR112" i="2"/>
  <c r="AQ146" i="2"/>
  <c r="AQ120" i="2"/>
  <c r="AQ139" i="2"/>
  <c r="AQ133" i="2"/>
  <c r="AR133" i="2"/>
  <c r="AR140" i="2"/>
  <c r="AQ121" i="2"/>
  <c r="AR121" i="2"/>
  <c r="AQ122" i="2"/>
  <c r="AR122" i="2"/>
  <c r="AQ113" i="2"/>
  <c r="AQ140" i="2"/>
  <c r="AQ115" i="2"/>
  <c r="AR128" i="2"/>
  <c r="AQ128" i="2"/>
  <c r="AG105" i="2"/>
  <c r="AG106" i="2" s="1"/>
  <c r="AG107" i="2" s="1"/>
  <c r="AG108" i="2" s="1"/>
  <c r="AG109" i="2" s="1"/>
  <c r="AG110" i="2" s="1"/>
  <c r="AG111" i="2" s="1"/>
  <c r="AG112" i="2" s="1"/>
  <c r="AG113" i="2" s="1"/>
  <c r="AG114" i="2" s="1"/>
  <c r="AG115" i="2" s="1"/>
  <c r="AG116" i="2" s="1"/>
  <c r="AG117" i="2" s="1"/>
  <c r="AG118" i="2" s="1"/>
  <c r="AG119" i="2" s="1"/>
  <c r="AG120" i="2" s="1"/>
  <c r="AG121" i="2" s="1"/>
  <c r="AG122" i="2" s="1"/>
  <c r="AG123" i="2" s="1"/>
  <c r="AG124" i="2" s="1"/>
  <c r="AG125" i="2" s="1"/>
  <c r="AG126" i="2" s="1"/>
  <c r="AG127" i="2" s="1"/>
  <c r="AG128" i="2" s="1"/>
  <c r="AG129" i="2" s="1"/>
  <c r="AG130" i="2" s="1"/>
  <c r="AG131" i="2" s="1"/>
  <c r="AG132" i="2" s="1"/>
  <c r="AG133" i="2" s="1"/>
  <c r="AG134" i="2" s="1"/>
  <c r="AG135" i="2" s="1"/>
  <c r="AG136" i="2" s="1"/>
  <c r="AG137" i="2" s="1"/>
  <c r="AG138" i="2" s="1"/>
  <c r="AG139" i="2" s="1"/>
  <c r="AG140" i="2" s="1"/>
  <c r="AG141" i="2" s="1"/>
  <c r="AG142" i="2" s="1"/>
  <c r="AG143" i="2" s="1"/>
  <c r="AG144" i="2" s="1"/>
  <c r="AG145" i="2" s="1"/>
  <c r="AG146" i="2" s="1"/>
  <c r="AG147" i="2" s="1"/>
  <c r="AG148" i="2" s="1"/>
  <c r="AG149" i="2" s="1"/>
  <c r="AG150" i="2" s="1"/>
  <c r="AG151" i="2" s="1"/>
  <c r="AG152" i="2" s="1"/>
  <c r="AG153" i="2" s="1"/>
  <c r="AG154" i="2" s="1"/>
  <c r="AF105" i="2"/>
  <c r="AF106" i="2" s="1"/>
  <c r="AF107" i="2" s="1"/>
  <c r="AF108" i="2" s="1"/>
  <c r="AF109" i="2" s="1"/>
  <c r="AF110" i="2" s="1"/>
  <c r="AF111" i="2" s="1"/>
  <c r="AF112" i="2" s="1"/>
  <c r="AF113" i="2" s="1"/>
  <c r="AF114" i="2" s="1"/>
  <c r="AF115" i="2" s="1"/>
  <c r="AF116" i="2" s="1"/>
  <c r="AF117" i="2" s="1"/>
  <c r="AF118" i="2" s="1"/>
  <c r="AF119" i="2" s="1"/>
  <c r="AF120" i="2" s="1"/>
  <c r="AF121" i="2" s="1"/>
  <c r="AF122" i="2" s="1"/>
  <c r="AF123" i="2" s="1"/>
  <c r="AF124" i="2" s="1"/>
  <c r="AF125" i="2" s="1"/>
  <c r="AF126" i="2" s="1"/>
  <c r="AF127" i="2" s="1"/>
  <c r="AF128" i="2" s="1"/>
  <c r="AF129" i="2" s="1"/>
  <c r="AF130" i="2" s="1"/>
  <c r="AF131" i="2" s="1"/>
  <c r="AF132" i="2" s="1"/>
  <c r="AF133" i="2" s="1"/>
  <c r="AF134" i="2" s="1"/>
  <c r="AF135" i="2" s="1"/>
  <c r="AF136" i="2" s="1"/>
  <c r="AF137" i="2" s="1"/>
  <c r="AF138" i="2" s="1"/>
  <c r="AF139" i="2" s="1"/>
  <c r="AF140" i="2" s="1"/>
  <c r="AF141" i="2" s="1"/>
  <c r="AF142" i="2" s="1"/>
  <c r="AF143" i="2" s="1"/>
  <c r="AF144" i="2" s="1"/>
  <c r="AF145" i="2" s="1"/>
  <c r="AF146" i="2" s="1"/>
  <c r="AF147" i="2" s="1"/>
  <c r="AF148" i="2" s="1"/>
  <c r="AF149" i="2" s="1"/>
  <c r="AF150" i="2" s="1"/>
  <c r="AF151" i="2" s="1"/>
  <c r="AF152" i="2" s="1"/>
  <c r="AF153" i="2" s="1"/>
  <c r="AF154" i="2" s="1"/>
  <c r="AR114" i="2"/>
  <c r="AQ114" i="2"/>
  <c r="AR154" i="2"/>
  <c r="AQ154" i="2"/>
  <c r="AR111" i="2"/>
  <c r="AQ111" i="2"/>
  <c r="AR132" i="2"/>
  <c r="AQ132" i="2"/>
  <c r="AQ136" i="2"/>
  <c r="AR109" i="2"/>
  <c r="AQ109" i="2"/>
  <c r="AQ124" i="2"/>
  <c r="AR124" i="2"/>
  <c r="AQ127" i="2"/>
  <c r="AR108" i="2"/>
  <c r="AQ108" i="2"/>
  <c r="AR117" i="2"/>
  <c r="AQ117" i="2"/>
  <c r="AQ152" i="2"/>
  <c r="AQ147" i="2"/>
  <c r="AQ141" i="2"/>
  <c r="AR141" i="2"/>
  <c r="AR118" i="2"/>
  <c r="AQ119" i="2"/>
  <c r="AR125" i="2"/>
  <c r="AQ125" i="2"/>
  <c r="AQ118" i="2"/>
  <c r="AR147" i="2"/>
  <c r="AR134" i="2"/>
  <c r="AR143" i="2"/>
  <c r="AQ143" i="2"/>
  <c r="AR126" i="2"/>
  <c r="AR107" i="2"/>
  <c r="AR153" i="2"/>
  <c r="AR150" i="2"/>
  <c r="AQ150" i="2"/>
  <c r="AR149" i="2"/>
  <c r="AQ145" i="2"/>
  <c r="AR116" i="2"/>
  <c r="AQ116" i="2"/>
  <c r="AQ134" i="2"/>
  <c r="AR145" i="2"/>
  <c r="AQ137" i="2"/>
  <c r="AQ135" i="2"/>
  <c r="AQ123" i="2"/>
  <c r="AQ148" i="2"/>
  <c r="AR148" i="2"/>
  <c r="AR129" i="2"/>
  <c r="AQ131" i="2"/>
  <c r="AQ151" i="2"/>
  <c r="AR144" i="2"/>
  <c r="AR106" i="2"/>
  <c r="AQ138" i="2"/>
  <c r="C200" i="2"/>
  <c r="AQ200" i="2" s="1"/>
  <c r="C170" i="2"/>
  <c r="AQ170" i="2" s="1"/>
  <c r="C192" i="2"/>
  <c r="C187" i="2"/>
  <c r="C165" i="2"/>
  <c r="C193" i="2"/>
  <c r="AQ193" i="2" s="1"/>
  <c r="C179" i="2"/>
  <c r="C158" i="2"/>
  <c r="AR158" i="2" s="1"/>
  <c r="C204" i="2"/>
  <c r="AR204" i="2" s="1"/>
  <c r="C197" i="2"/>
  <c r="AR197" i="2" s="1"/>
  <c r="C184" i="2"/>
  <c r="C189" i="2"/>
  <c r="AQ189" i="2" s="1"/>
  <c r="C185" i="2"/>
  <c r="AR185" i="2" s="1"/>
  <c r="C198" i="2"/>
  <c r="C169" i="2"/>
  <c r="AQ169" i="2" s="1"/>
  <c r="C199" i="2"/>
  <c r="AQ199" i="2" s="1"/>
  <c r="C166" i="2"/>
  <c r="C202" i="2"/>
  <c r="AQ202" i="2" s="1"/>
  <c r="C161" i="2"/>
  <c r="AR161" i="2" s="1"/>
  <c r="C196" i="2"/>
  <c r="AR196" i="2" s="1"/>
  <c r="C163" i="2"/>
  <c r="AR163" i="2" s="1"/>
  <c r="C188" i="2"/>
  <c r="C174" i="2"/>
  <c r="AQ174" i="2" s="1"/>
  <c r="C194" i="2"/>
  <c r="C172" i="2"/>
  <c r="AQ172" i="2" s="1"/>
  <c r="C162" i="2"/>
  <c r="AQ162" i="2" s="1"/>
  <c r="C157" i="2"/>
  <c r="AR157" i="2" s="1"/>
  <c r="C203" i="2"/>
  <c r="C177" i="2"/>
  <c r="C176" i="2"/>
  <c r="C201" i="2"/>
  <c r="C173" i="2"/>
  <c r="C181" i="2"/>
  <c r="C171" i="2"/>
  <c r="AQ171" i="2" s="1"/>
  <c r="C175" i="2"/>
  <c r="C183" i="2"/>
  <c r="C160" i="2"/>
  <c r="AR160" i="2" s="1"/>
  <c r="C164" i="2"/>
  <c r="C186" i="2"/>
  <c r="C180" i="2"/>
  <c r="C195" i="2"/>
  <c r="C167" i="2"/>
  <c r="AQ167" i="2" s="1"/>
  <c r="C190" i="2"/>
  <c r="AQ190" i="2" s="1"/>
  <c r="C182" i="2"/>
  <c r="C168" i="2"/>
  <c r="C156" i="2"/>
  <c r="C178" i="2"/>
  <c r="C191" i="2"/>
  <c r="AR191" i="2" s="1"/>
  <c r="C159" i="2"/>
  <c r="C155" i="2"/>
  <c r="AQ204" i="2" l="1"/>
  <c r="AR172" i="2"/>
  <c r="AR189" i="2"/>
  <c r="AR199" i="2"/>
  <c r="AQ163" i="2"/>
  <c r="AQ185" i="2"/>
  <c r="AQ197" i="2"/>
  <c r="AR200" i="2"/>
  <c r="AR198" i="2"/>
  <c r="AQ198" i="2"/>
  <c r="AF155" i="2"/>
  <c r="AF156" i="2" s="1"/>
  <c r="AF157" i="2" s="1"/>
  <c r="AF158" i="2" s="1"/>
  <c r="AF159" i="2" s="1"/>
  <c r="AF160" i="2" s="1"/>
  <c r="AF161" i="2" s="1"/>
  <c r="AF162" i="2" s="1"/>
  <c r="AF163" i="2" s="1"/>
  <c r="AF164" i="2" s="1"/>
  <c r="AF165" i="2" s="1"/>
  <c r="AF166" i="2" s="1"/>
  <c r="AF167" i="2" s="1"/>
  <c r="AF168" i="2" s="1"/>
  <c r="AF169" i="2" s="1"/>
  <c r="AF170" i="2" s="1"/>
  <c r="AF171" i="2" s="1"/>
  <c r="AF172" i="2" s="1"/>
  <c r="AF173" i="2" s="1"/>
  <c r="AF174" i="2" s="1"/>
  <c r="AF175" i="2" s="1"/>
  <c r="AF176" i="2" s="1"/>
  <c r="AF177" i="2" s="1"/>
  <c r="AF178" i="2" s="1"/>
  <c r="AF179" i="2" s="1"/>
  <c r="AF180" i="2" s="1"/>
  <c r="AF181" i="2" s="1"/>
  <c r="AF182" i="2" s="1"/>
  <c r="AF183" i="2" s="1"/>
  <c r="AF184" i="2" s="1"/>
  <c r="AF185" i="2" s="1"/>
  <c r="AF186" i="2" s="1"/>
  <c r="AF187" i="2" s="1"/>
  <c r="AF188" i="2" s="1"/>
  <c r="AF189" i="2" s="1"/>
  <c r="AF190" i="2" s="1"/>
  <c r="AF191" i="2" s="1"/>
  <c r="AF192" i="2" s="1"/>
  <c r="AF193" i="2" s="1"/>
  <c r="AF194" i="2" s="1"/>
  <c r="AF195" i="2" s="1"/>
  <c r="AF196" i="2" s="1"/>
  <c r="AF197" i="2" s="1"/>
  <c r="AF198" i="2" s="1"/>
  <c r="AF199" i="2" s="1"/>
  <c r="AF200" i="2" s="1"/>
  <c r="AF201" i="2" s="1"/>
  <c r="AF202" i="2" s="1"/>
  <c r="AF203" i="2" s="1"/>
  <c r="AF204" i="2" s="1"/>
  <c r="P21" i="2"/>
  <c r="P31" i="2"/>
  <c r="P40" i="1" s="1"/>
  <c r="P32" i="2"/>
  <c r="AR155" i="2"/>
  <c r="P34" i="2"/>
  <c r="AQ155" i="2"/>
  <c r="P33" i="2"/>
  <c r="AR201" i="2"/>
  <c r="AQ201" i="2"/>
  <c r="AR165" i="2"/>
  <c r="AQ165" i="2"/>
  <c r="AR171" i="2"/>
  <c r="P22" i="2"/>
  <c r="P23" i="2"/>
  <c r="AR159" i="2"/>
  <c r="AQ159" i="2"/>
  <c r="AR195" i="2"/>
  <c r="AQ195" i="2"/>
  <c r="AR168" i="2"/>
  <c r="AQ168" i="2"/>
  <c r="AQ175" i="2"/>
  <c r="AR175" i="2"/>
  <c r="AQ203" i="2"/>
  <c r="AR188" i="2"/>
  <c r="AQ188" i="2"/>
  <c r="AQ184" i="2"/>
  <c r="AR184" i="2"/>
  <c r="AR203" i="2"/>
  <c r="AG155" i="2"/>
  <c r="AG156" i="2" s="1"/>
  <c r="AG157" i="2" s="1"/>
  <c r="AG158" i="2" s="1"/>
  <c r="AG159" i="2" s="1"/>
  <c r="AG160" i="2" s="1"/>
  <c r="AG161" i="2" s="1"/>
  <c r="AG162" i="2" s="1"/>
  <c r="AG163" i="2" s="1"/>
  <c r="AG164" i="2" s="1"/>
  <c r="AG165" i="2" s="1"/>
  <c r="AG166" i="2" s="1"/>
  <c r="AG167" i="2" s="1"/>
  <c r="AG168" i="2" s="1"/>
  <c r="AG169" i="2" s="1"/>
  <c r="AG170" i="2" s="1"/>
  <c r="AG171" i="2" s="1"/>
  <c r="AG172" i="2" s="1"/>
  <c r="AG173" i="2" s="1"/>
  <c r="AG174" i="2" s="1"/>
  <c r="AG175" i="2" s="1"/>
  <c r="AG176" i="2" s="1"/>
  <c r="AG177" i="2" s="1"/>
  <c r="AG178" i="2" s="1"/>
  <c r="AG179" i="2" s="1"/>
  <c r="AG180" i="2" s="1"/>
  <c r="AG181" i="2" s="1"/>
  <c r="AG182" i="2" s="1"/>
  <c r="AG183" i="2" s="1"/>
  <c r="AG184" i="2" s="1"/>
  <c r="AG185" i="2" s="1"/>
  <c r="AG186" i="2" s="1"/>
  <c r="AG187" i="2" s="1"/>
  <c r="AG188" i="2" s="1"/>
  <c r="AG189" i="2" s="1"/>
  <c r="AG190" i="2" s="1"/>
  <c r="AG191" i="2" s="1"/>
  <c r="AG192" i="2" s="1"/>
  <c r="AG193" i="2" s="1"/>
  <c r="AG194" i="2" s="1"/>
  <c r="AG195" i="2" s="1"/>
  <c r="AG196" i="2" s="1"/>
  <c r="AG197" i="2" s="1"/>
  <c r="AG198" i="2" s="1"/>
  <c r="AG199" i="2" s="1"/>
  <c r="AG200" i="2" s="1"/>
  <c r="AG201" i="2" s="1"/>
  <c r="AG202" i="2" s="1"/>
  <c r="AG203" i="2" s="1"/>
  <c r="AG204" i="2" s="1"/>
  <c r="AQ178" i="2"/>
  <c r="AQ156" i="2"/>
  <c r="AR156" i="2"/>
  <c r="AR180" i="2"/>
  <c r="AQ183" i="2"/>
  <c r="AR183" i="2"/>
  <c r="AQ173" i="2"/>
  <c r="AR173" i="2"/>
  <c r="AR177" i="2"/>
  <c r="AQ177" i="2"/>
  <c r="AQ166" i="2"/>
  <c r="AR166" i="2"/>
  <c r="AR170" i="2"/>
  <c r="AQ180" i="2"/>
  <c r="AQ191" i="2"/>
  <c r="AR190" i="2"/>
  <c r="AQ194" i="2"/>
  <c r="AR194" i="2"/>
  <c r="AR202" i="2"/>
  <c r="AR178" i="2"/>
  <c r="AQ182" i="2"/>
  <c r="AR164" i="2"/>
  <c r="AR176" i="2"/>
  <c r="AQ176" i="2"/>
  <c r="AQ157" i="2"/>
  <c r="AR167" i="2"/>
  <c r="AR186" i="2"/>
  <c r="AQ181" i="2"/>
  <c r="AR181" i="2"/>
  <c r="AR179" i="2"/>
  <c r="AQ164" i="2"/>
  <c r="AR182" i="2"/>
  <c r="AQ186" i="2"/>
  <c r="AQ179" i="2"/>
  <c r="AQ160" i="2"/>
  <c r="AQ192" i="2"/>
  <c r="AR192" i="2"/>
  <c r="AQ158" i="2"/>
  <c r="AR174" i="2"/>
  <c r="AR162" i="2"/>
  <c r="AQ187" i="2"/>
  <c r="AQ161" i="2"/>
  <c r="AR169" i="2"/>
  <c r="AR193" i="2"/>
  <c r="AR187" i="2"/>
  <c r="AQ196" i="2"/>
  <c r="P43" i="1" l="1"/>
  <c r="BD107" i="2"/>
  <c r="P41" i="1"/>
  <c r="T68" i="2"/>
  <c r="T73" i="2"/>
  <c r="T67" i="2"/>
  <c r="BF8" i="2"/>
  <c r="T64" i="2"/>
  <c r="T74" i="2"/>
  <c r="T65" i="2"/>
  <c r="T69" i="2"/>
  <c r="T70" i="2"/>
  <c r="T71" i="2"/>
  <c r="T66" i="2"/>
  <c r="T72" i="2"/>
  <c r="AW7" i="2"/>
  <c r="P38" i="2"/>
  <c r="AW18" i="2"/>
  <c r="AW13" i="2"/>
  <c r="AW6" i="2"/>
  <c r="AW10" i="2"/>
  <c r="AW15" i="2"/>
  <c r="AW14" i="2"/>
  <c r="AW25" i="2" s="1"/>
  <c r="AW9" i="2"/>
  <c r="AW16" i="2"/>
  <c r="P27" i="2"/>
  <c r="P31" i="1"/>
  <c r="AW12" i="2"/>
  <c r="P26" i="2"/>
  <c r="P35" i="1" s="1"/>
  <c r="R88" i="2"/>
  <c r="AW5" i="2"/>
  <c r="AO5" i="2"/>
  <c r="AO6" i="2" s="1"/>
  <c r="AO7" i="2" s="1"/>
  <c r="AO8" i="2" s="1"/>
  <c r="AO9" i="2" s="1"/>
  <c r="AO10" i="2" s="1"/>
  <c r="AO11" i="2" s="1"/>
  <c r="AO12" i="2" s="1"/>
  <c r="AO13" i="2" s="1"/>
  <c r="AO14" i="2" s="1"/>
  <c r="AO15" i="2" s="1"/>
  <c r="AO16" i="2" s="1"/>
  <c r="AO17" i="2" s="1"/>
  <c r="AO18" i="2" s="1"/>
  <c r="AO19" i="2" s="1"/>
  <c r="AO20" i="2" s="1"/>
  <c r="AO21" i="2" s="1"/>
  <c r="AO22" i="2" s="1"/>
  <c r="AO23" i="2" s="1"/>
  <c r="AO24" i="2" s="1"/>
  <c r="AO25" i="2" s="1"/>
  <c r="AO26" i="2" s="1"/>
  <c r="AO27" i="2" s="1"/>
  <c r="AO28" i="2" s="1"/>
  <c r="AO29" i="2" s="1"/>
  <c r="AO30" i="2" s="1"/>
  <c r="AO31" i="2" s="1"/>
  <c r="AO32" i="2" s="1"/>
  <c r="AO33" i="2" s="1"/>
  <c r="AO34" i="2" s="1"/>
  <c r="AO35" i="2" s="1"/>
  <c r="AO36" i="2" s="1"/>
  <c r="AO37" i="2" s="1"/>
  <c r="AO38" i="2" s="1"/>
  <c r="AO39" i="2" s="1"/>
  <c r="AO40" i="2" s="1"/>
  <c r="AO41" i="2" s="1"/>
  <c r="AO42" i="2" s="1"/>
  <c r="AO43" i="2" s="1"/>
  <c r="AO44" i="2" s="1"/>
  <c r="AO45" i="2" s="1"/>
  <c r="AO46" i="2" s="1"/>
  <c r="AO47" i="2" s="1"/>
  <c r="AO48" i="2" s="1"/>
  <c r="AO49" i="2" s="1"/>
  <c r="AO50" i="2" s="1"/>
  <c r="AO51" i="2" s="1"/>
  <c r="AO52" i="2" s="1"/>
  <c r="AO53" i="2" s="1"/>
  <c r="AO54" i="2" s="1"/>
  <c r="AO55" i="2" s="1"/>
  <c r="AO56" i="2" s="1"/>
  <c r="AO57" i="2" s="1"/>
  <c r="AO58" i="2" s="1"/>
  <c r="AO59" i="2" s="1"/>
  <c r="AO60" i="2" s="1"/>
  <c r="AO61" i="2" s="1"/>
  <c r="AO62" i="2" s="1"/>
  <c r="AO63" i="2" s="1"/>
  <c r="AO64" i="2" s="1"/>
  <c r="AO65" i="2" s="1"/>
  <c r="AO66" i="2" s="1"/>
  <c r="AO67" i="2" s="1"/>
  <c r="AO68" i="2" s="1"/>
  <c r="AO69" i="2" s="1"/>
  <c r="AO70" i="2" s="1"/>
  <c r="AO71" i="2" s="1"/>
  <c r="AO72" i="2" s="1"/>
  <c r="AO73" i="2" s="1"/>
  <c r="AO74" i="2" s="1"/>
  <c r="AO75" i="2" s="1"/>
  <c r="AO76" i="2" s="1"/>
  <c r="AO77" i="2" s="1"/>
  <c r="AO78" i="2" s="1"/>
  <c r="AO79" i="2" s="1"/>
  <c r="AO80" i="2" s="1"/>
  <c r="AO81" i="2" s="1"/>
  <c r="AO82" i="2" s="1"/>
  <c r="AO83" i="2" s="1"/>
  <c r="AO84" i="2" s="1"/>
  <c r="AO85" i="2" s="1"/>
  <c r="AO86" i="2" s="1"/>
  <c r="AO87" i="2" s="1"/>
  <c r="AO88" i="2" s="1"/>
  <c r="AO89" i="2" s="1"/>
  <c r="AO90" i="2" s="1"/>
  <c r="AO91" i="2" s="1"/>
  <c r="AO92" i="2" s="1"/>
  <c r="AO93" i="2" s="1"/>
  <c r="AO94" i="2" s="1"/>
  <c r="AO95" i="2" s="1"/>
  <c r="AO96" i="2" s="1"/>
  <c r="AO97" i="2" s="1"/>
  <c r="AO98" i="2" s="1"/>
  <c r="AO99" i="2" s="1"/>
  <c r="AO100" i="2" s="1"/>
  <c r="AO101" i="2" s="1"/>
  <c r="AO102" i="2" s="1"/>
  <c r="AO103" i="2" s="1"/>
  <c r="AO104" i="2" s="1"/>
  <c r="AO105" i="2" s="1"/>
  <c r="AO106" i="2" s="1"/>
  <c r="AO107" i="2" s="1"/>
  <c r="AO108" i="2" s="1"/>
  <c r="AO109" i="2" s="1"/>
  <c r="AO110" i="2" s="1"/>
  <c r="AO111" i="2" s="1"/>
  <c r="AO112" i="2" s="1"/>
  <c r="AO113" i="2" s="1"/>
  <c r="AO114" i="2" s="1"/>
  <c r="AO115" i="2" s="1"/>
  <c r="AO116" i="2" s="1"/>
  <c r="AO117" i="2" s="1"/>
  <c r="AO118" i="2" s="1"/>
  <c r="AO119" i="2" s="1"/>
  <c r="AO120" i="2" s="1"/>
  <c r="AO121" i="2" s="1"/>
  <c r="AO122" i="2" s="1"/>
  <c r="AO123" i="2" s="1"/>
  <c r="AO124" i="2" s="1"/>
  <c r="AO125" i="2" s="1"/>
  <c r="AO126" i="2" s="1"/>
  <c r="AO127" i="2" s="1"/>
  <c r="AO128" i="2" s="1"/>
  <c r="AO129" i="2" s="1"/>
  <c r="AO130" i="2" s="1"/>
  <c r="AO131" i="2" s="1"/>
  <c r="AO132" i="2" s="1"/>
  <c r="AO133" i="2" s="1"/>
  <c r="AO134" i="2" s="1"/>
  <c r="AO135" i="2" s="1"/>
  <c r="AO136" i="2" s="1"/>
  <c r="AO137" i="2" s="1"/>
  <c r="AO138" i="2" s="1"/>
  <c r="AO139" i="2" s="1"/>
  <c r="AO140" i="2" s="1"/>
  <c r="AO141" i="2" s="1"/>
  <c r="AO142" i="2" s="1"/>
  <c r="AO143" i="2" s="1"/>
  <c r="AO144" i="2" s="1"/>
  <c r="AO145" i="2" s="1"/>
  <c r="AO146" i="2" s="1"/>
  <c r="AO147" i="2" s="1"/>
  <c r="AO148" i="2" s="1"/>
  <c r="AO149" i="2" s="1"/>
  <c r="AO150" i="2" s="1"/>
  <c r="AO151" i="2" s="1"/>
  <c r="AO152" i="2" s="1"/>
  <c r="AO153" i="2" s="1"/>
  <c r="AO154" i="2" s="1"/>
  <c r="AO155" i="2" s="1"/>
  <c r="AO156" i="2" s="1"/>
  <c r="AO157" i="2" s="1"/>
  <c r="AO158" i="2" s="1"/>
  <c r="AO159" i="2" s="1"/>
  <c r="AO160" i="2" s="1"/>
  <c r="AO161" i="2" s="1"/>
  <c r="AO162" i="2" s="1"/>
  <c r="AO163" i="2" s="1"/>
  <c r="AO164" i="2" s="1"/>
  <c r="AO165" i="2" s="1"/>
  <c r="AO166" i="2" s="1"/>
  <c r="AO167" i="2" s="1"/>
  <c r="AO168" i="2" s="1"/>
  <c r="AO169" i="2" s="1"/>
  <c r="AO170" i="2" s="1"/>
  <c r="AO171" i="2" s="1"/>
  <c r="AO172" i="2" s="1"/>
  <c r="AO173" i="2" s="1"/>
  <c r="AO174" i="2" s="1"/>
  <c r="AO175" i="2" s="1"/>
  <c r="AO176" i="2" s="1"/>
  <c r="AO177" i="2" s="1"/>
  <c r="AO178" i="2" s="1"/>
  <c r="AO179" i="2" s="1"/>
  <c r="AO180" i="2" s="1"/>
  <c r="AO181" i="2" s="1"/>
  <c r="AO182" i="2" s="1"/>
  <c r="AO183" i="2" s="1"/>
  <c r="AO184" i="2" s="1"/>
  <c r="AO185" i="2" s="1"/>
  <c r="AO186" i="2" s="1"/>
  <c r="AO187" i="2" s="1"/>
  <c r="AO188" i="2" s="1"/>
  <c r="AO189" i="2" s="1"/>
  <c r="AO190" i="2" s="1"/>
  <c r="AO191" i="2" s="1"/>
  <c r="AO192" i="2" s="1"/>
  <c r="AO193" i="2" s="1"/>
  <c r="AO194" i="2" s="1"/>
  <c r="AO195" i="2" s="1"/>
  <c r="AO196" i="2" s="1"/>
  <c r="AO197" i="2" s="1"/>
  <c r="AO198" i="2" s="1"/>
  <c r="AO199" i="2" s="1"/>
  <c r="AO200" i="2" s="1"/>
  <c r="AO201" i="2" s="1"/>
  <c r="AO202" i="2" s="1"/>
  <c r="AO203" i="2" s="1"/>
  <c r="AO204" i="2" s="1"/>
  <c r="AW11" i="2"/>
  <c r="P37" i="2"/>
  <c r="AI5" i="2"/>
  <c r="AI6" i="2" s="1"/>
  <c r="AI7" i="2" s="1"/>
  <c r="AI8" i="2" s="1"/>
  <c r="AI9" i="2" s="1"/>
  <c r="AI10" i="2" s="1"/>
  <c r="AI11" i="2" s="1"/>
  <c r="AI12" i="2" s="1"/>
  <c r="AI13" i="2" s="1"/>
  <c r="AI14" i="2" s="1"/>
  <c r="AI15" i="2" s="1"/>
  <c r="AI16" i="2" s="1"/>
  <c r="AI17" i="2" s="1"/>
  <c r="AI18" i="2" s="1"/>
  <c r="AI19" i="2" s="1"/>
  <c r="AI20" i="2" s="1"/>
  <c r="AI21" i="2" s="1"/>
  <c r="AI22" i="2" s="1"/>
  <c r="AI23" i="2" s="1"/>
  <c r="AI24" i="2" s="1"/>
  <c r="AI25" i="2" s="1"/>
  <c r="AI26" i="2" s="1"/>
  <c r="AI27" i="2" s="1"/>
  <c r="AI28" i="2" s="1"/>
  <c r="AI29" i="2" s="1"/>
  <c r="AI30" i="2" s="1"/>
  <c r="AI31" i="2" s="1"/>
  <c r="AI32" i="2" s="1"/>
  <c r="AI33" i="2" s="1"/>
  <c r="AI34" i="2" s="1"/>
  <c r="AI35" i="2" s="1"/>
  <c r="AI36" i="2" s="1"/>
  <c r="AI37" i="2" s="1"/>
  <c r="AI38" i="2" s="1"/>
  <c r="AI39" i="2" s="1"/>
  <c r="AI40" i="2" s="1"/>
  <c r="AI41" i="2" s="1"/>
  <c r="AI42" i="2" s="1"/>
  <c r="AI43" i="2" s="1"/>
  <c r="AI44" i="2" s="1"/>
  <c r="AI45" i="2" s="1"/>
  <c r="AI46" i="2" s="1"/>
  <c r="AI47" i="2" s="1"/>
  <c r="AI48" i="2" s="1"/>
  <c r="AI49" i="2" s="1"/>
  <c r="AI50" i="2" s="1"/>
  <c r="AI51" i="2" s="1"/>
  <c r="AI52" i="2" s="1"/>
  <c r="AI53" i="2" s="1"/>
  <c r="AI54" i="2" s="1"/>
  <c r="AI55" i="2" s="1"/>
  <c r="AI56" i="2" s="1"/>
  <c r="AI57" i="2" s="1"/>
  <c r="AI58" i="2" s="1"/>
  <c r="AI59" i="2" s="1"/>
  <c r="AI60" i="2" s="1"/>
  <c r="AI61" i="2" s="1"/>
  <c r="AI62" i="2" s="1"/>
  <c r="AI63" i="2" s="1"/>
  <c r="AI64" i="2" s="1"/>
  <c r="AI65" i="2" s="1"/>
  <c r="AI66" i="2" s="1"/>
  <c r="AI67" i="2" s="1"/>
  <c r="AI68" i="2" s="1"/>
  <c r="AI69" i="2" s="1"/>
  <c r="AI70" i="2" s="1"/>
  <c r="AI71" i="2" s="1"/>
  <c r="AI72" i="2" s="1"/>
  <c r="AI73" i="2" s="1"/>
  <c r="AI74" i="2" s="1"/>
  <c r="AI75" i="2" s="1"/>
  <c r="AI76" i="2" s="1"/>
  <c r="AI77" i="2" s="1"/>
  <c r="AI78" i="2" s="1"/>
  <c r="AI79" i="2" s="1"/>
  <c r="AI80" i="2" s="1"/>
  <c r="AI81" i="2" s="1"/>
  <c r="AI82" i="2" s="1"/>
  <c r="AI83" i="2" s="1"/>
  <c r="AI84" i="2" s="1"/>
  <c r="AI85" i="2" s="1"/>
  <c r="AI86" i="2" s="1"/>
  <c r="AI87" i="2" s="1"/>
  <c r="AI88" i="2" s="1"/>
  <c r="AI89" i="2" s="1"/>
  <c r="AI90" i="2" s="1"/>
  <c r="AI91" i="2" s="1"/>
  <c r="AI92" i="2" s="1"/>
  <c r="AI93" i="2" s="1"/>
  <c r="AI94" i="2" s="1"/>
  <c r="AI95" i="2" s="1"/>
  <c r="AI96" i="2" s="1"/>
  <c r="AI97" i="2" s="1"/>
  <c r="AI98" i="2" s="1"/>
  <c r="AI99" i="2" s="1"/>
  <c r="AI100" i="2" s="1"/>
  <c r="AI101" i="2" s="1"/>
  <c r="AI102" i="2" s="1"/>
  <c r="AI103" i="2" s="1"/>
  <c r="AI104" i="2" s="1"/>
  <c r="AI105" i="2" s="1"/>
  <c r="AI106" i="2" s="1"/>
  <c r="AI107" i="2" s="1"/>
  <c r="AI108" i="2" s="1"/>
  <c r="AI109" i="2" s="1"/>
  <c r="AI110" i="2" s="1"/>
  <c r="AI111" i="2" s="1"/>
  <c r="AI112" i="2" s="1"/>
  <c r="AI113" i="2" s="1"/>
  <c r="AI114" i="2" s="1"/>
  <c r="AI115" i="2" s="1"/>
  <c r="AI116" i="2" s="1"/>
  <c r="AI117" i="2" s="1"/>
  <c r="AI118" i="2" s="1"/>
  <c r="AI119" i="2" s="1"/>
  <c r="AI120" i="2" s="1"/>
  <c r="AI121" i="2" s="1"/>
  <c r="AI122" i="2" s="1"/>
  <c r="AI123" i="2" s="1"/>
  <c r="AI124" i="2" s="1"/>
  <c r="AI125" i="2" s="1"/>
  <c r="AI126" i="2" s="1"/>
  <c r="AI127" i="2" s="1"/>
  <c r="AI128" i="2" s="1"/>
  <c r="AI129" i="2" s="1"/>
  <c r="AI130" i="2" s="1"/>
  <c r="AI131" i="2" s="1"/>
  <c r="AI132" i="2" s="1"/>
  <c r="AI133" i="2" s="1"/>
  <c r="AI134" i="2" s="1"/>
  <c r="AI135" i="2" s="1"/>
  <c r="AI136" i="2" s="1"/>
  <c r="AI137" i="2" s="1"/>
  <c r="AI138" i="2" s="1"/>
  <c r="AI139" i="2" s="1"/>
  <c r="AI140" i="2" s="1"/>
  <c r="AI141" i="2" s="1"/>
  <c r="AI142" i="2" s="1"/>
  <c r="AI143" i="2" s="1"/>
  <c r="AI144" i="2" s="1"/>
  <c r="AI145" i="2" s="1"/>
  <c r="AI146" i="2" s="1"/>
  <c r="AI147" i="2" s="1"/>
  <c r="AI148" i="2" s="1"/>
  <c r="AI149" i="2" s="1"/>
  <c r="AI150" i="2" s="1"/>
  <c r="AI151" i="2" s="1"/>
  <c r="AI152" i="2" s="1"/>
  <c r="AI153" i="2" s="1"/>
  <c r="AI154" i="2" s="1"/>
  <c r="AI155" i="2" s="1"/>
  <c r="AI156" i="2" s="1"/>
  <c r="AI157" i="2" s="1"/>
  <c r="AI158" i="2" s="1"/>
  <c r="AI159" i="2" s="1"/>
  <c r="AI160" i="2" s="1"/>
  <c r="AI161" i="2" s="1"/>
  <c r="AI162" i="2" s="1"/>
  <c r="AI163" i="2" s="1"/>
  <c r="AI164" i="2" s="1"/>
  <c r="AI165" i="2" s="1"/>
  <c r="AI166" i="2" s="1"/>
  <c r="AI167" i="2" s="1"/>
  <c r="AI168" i="2" s="1"/>
  <c r="AI169" i="2" s="1"/>
  <c r="AI170" i="2" s="1"/>
  <c r="AI171" i="2" s="1"/>
  <c r="AI172" i="2" s="1"/>
  <c r="AI173" i="2" s="1"/>
  <c r="AI174" i="2" s="1"/>
  <c r="AI175" i="2" s="1"/>
  <c r="AI176" i="2" s="1"/>
  <c r="AI177" i="2" s="1"/>
  <c r="AI178" i="2" s="1"/>
  <c r="AI179" i="2" s="1"/>
  <c r="AI180" i="2" s="1"/>
  <c r="AI181" i="2" s="1"/>
  <c r="AI182" i="2" s="1"/>
  <c r="AI183" i="2" s="1"/>
  <c r="AI184" i="2" s="1"/>
  <c r="AI185" i="2" s="1"/>
  <c r="AI186" i="2" s="1"/>
  <c r="AI187" i="2" s="1"/>
  <c r="AI188" i="2" s="1"/>
  <c r="AI189" i="2" s="1"/>
  <c r="AI190" i="2" s="1"/>
  <c r="AI191" i="2" s="1"/>
  <c r="AI192" i="2" s="1"/>
  <c r="AI193" i="2" s="1"/>
  <c r="AI194" i="2" s="1"/>
  <c r="AI195" i="2" s="1"/>
  <c r="AI196" i="2" s="1"/>
  <c r="AI197" i="2" s="1"/>
  <c r="AI198" i="2" s="1"/>
  <c r="AI199" i="2" s="1"/>
  <c r="AI200" i="2" s="1"/>
  <c r="AI201" i="2" s="1"/>
  <c r="AI202" i="2" s="1"/>
  <c r="AI203" i="2" s="1"/>
  <c r="AI204" i="2" s="1"/>
  <c r="AW8" i="2"/>
  <c r="AL5" i="2"/>
  <c r="AL6" i="2" s="1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AL52" i="2" s="1"/>
  <c r="AL53" i="2" s="1"/>
  <c r="AL54" i="2" s="1"/>
  <c r="AL55" i="2" s="1"/>
  <c r="AL56" i="2" s="1"/>
  <c r="AL57" i="2" s="1"/>
  <c r="AL58" i="2" s="1"/>
  <c r="AL59" i="2" s="1"/>
  <c r="AL60" i="2" s="1"/>
  <c r="AL61" i="2" s="1"/>
  <c r="AL62" i="2" s="1"/>
  <c r="AL63" i="2" s="1"/>
  <c r="AL64" i="2" s="1"/>
  <c r="AL65" i="2" s="1"/>
  <c r="AL66" i="2" s="1"/>
  <c r="AL67" i="2" s="1"/>
  <c r="AL68" i="2" s="1"/>
  <c r="AL69" i="2" s="1"/>
  <c r="AL70" i="2" s="1"/>
  <c r="AL71" i="2" s="1"/>
  <c r="AL72" i="2" s="1"/>
  <c r="AL73" i="2" s="1"/>
  <c r="AL74" i="2" s="1"/>
  <c r="AL75" i="2" s="1"/>
  <c r="AL76" i="2" s="1"/>
  <c r="AL77" i="2" s="1"/>
  <c r="AL78" i="2" s="1"/>
  <c r="AL79" i="2" s="1"/>
  <c r="AL80" i="2" s="1"/>
  <c r="AL81" i="2" s="1"/>
  <c r="AL82" i="2" s="1"/>
  <c r="AL83" i="2" s="1"/>
  <c r="AL84" i="2" s="1"/>
  <c r="AL85" i="2" s="1"/>
  <c r="AL86" i="2" s="1"/>
  <c r="AL87" i="2" s="1"/>
  <c r="AL88" i="2" s="1"/>
  <c r="AL89" i="2" s="1"/>
  <c r="AL90" i="2" s="1"/>
  <c r="AL91" i="2" s="1"/>
  <c r="AL92" i="2" s="1"/>
  <c r="AL93" i="2" s="1"/>
  <c r="AL94" i="2" s="1"/>
  <c r="AL95" i="2" s="1"/>
  <c r="AL96" i="2" s="1"/>
  <c r="AL97" i="2" s="1"/>
  <c r="AL98" i="2" s="1"/>
  <c r="AL99" i="2" s="1"/>
  <c r="AL100" i="2" s="1"/>
  <c r="AL101" i="2" s="1"/>
  <c r="AL102" i="2" s="1"/>
  <c r="AL103" i="2" s="1"/>
  <c r="AL104" i="2" s="1"/>
  <c r="AL105" i="2" s="1"/>
  <c r="AL106" i="2" s="1"/>
  <c r="AL107" i="2" s="1"/>
  <c r="AL108" i="2" s="1"/>
  <c r="AL109" i="2" s="1"/>
  <c r="AL110" i="2" s="1"/>
  <c r="AL111" i="2" s="1"/>
  <c r="AL112" i="2" s="1"/>
  <c r="AL113" i="2" s="1"/>
  <c r="AL114" i="2" s="1"/>
  <c r="AL115" i="2" s="1"/>
  <c r="AL116" i="2" s="1"/>
  <c r="AL117" i="2" s="1"/>
  <c r="AL118" i="2" s="1"/>
  <c r="AL119" i="2" s="1"/>
  <c r="AL120" i="2" s="1"/>
  <c r="AL121" i="2" s="1"/>
  <c r="AL122" i="2" s="1"/>
  <c r="AL123" i="2" s="1"/>
  <c r="AL124" i="2" s="1"/>
  <c r="AL125" i="2" s="1"/>
  <c r="AL126" i="2" s="1"/>
  <c r="AL127" i="2" s="1"/>
  <c r="AL128" i="2" s="1"/>
  <c r="AL129" i="2" s="1"/>
  <c r="AL130" i="2" s="1"/>
  <c r="AL131" i="2" s="1"/>
  <c r="AL132" i="2" s="1"/>
  <c r="AL133" i="2" s="1"/>
  <c r="AL134" i="2" s="1"/>
  <c r="AL135" i="2" s="1"/>
  <c r="AL136" i="2" s="1"/>
  <c r="AL137" i="2" s="1"/>
  <c r="AL138" i="2" s="1"/>
  <c r="AL139" i="2" s="1"/>
  <c r="AL140" i="2" s="1"/>
  <c r="AL141" i="2" s="1"/>
  <c r="AL142" i="2" s="1"/>
  <c r="AL143" i="2" s="1"/>
  <c r="AL144" i="2" s="1"/>
  <c r="AL145" i="2" s="1"/>
  <c r="AL146" i="2" s="1"/>
  <c r="AL147" i="2" s="1"/>
  <c r="AL148" i="2" s="1"/>
  <c r="AL149" i="2" s="1"/>
  <c r="AL150" i="2" s="1"/>
  <c r="AL151" i="2" s="1"/>
  <c r="AL152" i="2" s="1"/>
  <c r="AL153" i="2" s="1"/>
  <c r="AL154" i="2" s="1"/>
  <c r="AL155" i="2" s="1"/>
  <c r="AL156" i="2" s="1"/>
  <c r="AL157" i="2" s="1"/>
  <c r="AL158" i="2" s="1"/>
  <c r="AL159" i="2" s="1"/>
  <c r="AL160" i="2" s="1"/>
  <c r="AL161" i="2" s="1"/>
  <c r="AL162" i="2" s="1"/>
  <c r="AL163" i="2" s="1"/>
  <c r="AL164" i="2" s="1"/>
  <c r="AL165" i="2" s="1"/>
  <c r="AL166" i="2" s="1"/>
  <c r="AL167" i="2" s="1"/>
  <c r="AL168" i="2" s="1"/>
  <c r="AL169" i="2" s="1"/>
  <c r="AL170" i="2" s="1"/>
  <c r="AL171" i="2" s="1"/>
  <c r="AL172" i="2" s="1"/>
  <c r="AL173" i="2" s="1"/>
  <c r="AL174" i="2" s="1"/>
  <c r="AL175" i="2" s="1"/>
  <c r="AL176" i="2" s="1"/>
  <c r="AL177" i="2" s="1"/>
  <c r="AL178" i="2" s="1"/>
  <c r="AL179" i="2" s="1"/>
  <c r="AL180" i="2" s="1"/>
  <c r="AL181" i="2" s="1"/>
  <c r="AL182" i="2" s="1"/>
  <c r="AL183" i="2" s="1"/>
  <c r="AL184" i="2" s="1"/>
  <c r="AL185" i="2" s="1"/>
  <c r="AL186" i="2" s="1"/>
  <c r="AL187" i="2" s="1"/>
  <c r="AL188" i="2" s="1"/>
  <c r="AL189" i="2" s="1"/>
  <c r="AL190" i="2" s="1"/>
  <c r="AL191" i="2" s="1"/>
  <c r="AL192" i="2" s="1"/>
  <c r="AL193" i="2" s="1"/>
  <c r="AL194" i="2" s="1"/>
  <c r="AL195" i="2" s="1"/>
  <c r="AL196" i="2" s="1"/>
  <c r="AL197" i="2" s="1"/>
  <c r="AL198" i="2" s="1"/>
  <c r="AL199" i="2" s="1"/>
  <c r="AL200" i="2" s="1"/>
  <c r="AL201" i="2" s="1"/>
  <c r="AL202" i="2" s="1"/>
  <c r="AL203" i="2" s="1"/>
  <c r="AL204" i="2" s="1"/>
  <c r="AJ5" i="2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J31" i="2" s="1"/>
  <c r="AJ32" i="2" s="1"/>
  <c r="AJ33" i="2" s="1"/>
  <c r="AJ34" i="2" s="1"/>
  <c r="AJ35" i="2" s="1"/>
  <c r="AJ36" i="2" s="1"/>
  <c r="AJ37" i="2" s="1"/>
  <c r="AJ38" i="2" s="1"/>
  <c r="AJ39" i="2" s="1"/>
  <c r="AJ40" i="2" s="1"/>
  <c r="AJ41" i="2" s="1"/>
  <c r="AJ42" i="2" s="1"/>
  <c r="AJ43" i="2" s="1"/>
  <c r="AJ44" i="2" s="1"/>
  <c r="AJ45" i="2" s="1"/>
  <c r="AJ46" i="2" s="1"/>
  <c r="AJ47" i="2" s="1"/>
  <c r="AJ48" i="2" s="1"/>
  <c r="AJ49" i="2" s="1"/>
  <c r="AJ50" i="2" s="1"/>
  <c r="AJ51" i="2" s="1"/>
  <c r="AJ52" i="2" s="1"/>
  <c r="AJ53" i="2" s="1"/>
  <c r="AJ54" i="2" s="1"/>
  <c r="AJ55" i="2" s="1"/>
  <c r="AJ56" i="2" s="1"/>
  <c r="AJ57" i="2" s="1"/>
  <c r="AJ58" i="2" s="1"/>
  <c r="AJ59" i="2" s="1"/>
  <c r="AJ60" i="2" s="1"/>
  <c r="AJ61" i="2" s="1"/>
  <c r="AJ62" i="2" s="1"/>
  <c r="AJ63" i="2" s="1"/>
  <c r="AJ64" i="2" s="1"/>
  <c r="AJ65" i="2" s="1"/>
  <c r="AJ66" i="2" s="1"/>
  <c r="AJ67" i="2" s="1"/>
  <c r="AJ68" i="2" s="1"/>
  <c r="AJ69" i="2" s="1"/>
  <c r="AJ70" i="2" s="1"/>
  <c r="AJ71" i="2" s="1"/>
  <c r="AJ72" i="2" s="1"/>
  <c r="AJ73" i="2" s="1"/>
  <c r="AJ74" i="2" s="1"/>
  <c r="AJ75" i="2" s="1"/>
  <c r="AJ76" i="2" s="1"/>
  <c r="AJ77" i="2" s="1"/>
  <c r="AJ78" i="2" s="1"/>
  <c r="AJ79" i="2" s="1"/>
  <c r="AJ80" i="2" s="1"/>
  <c r="AJ81" i="2" s="1"/>
  <c r="AJ82" i="2" s="1"/>
  <c r="AJ83" i="2" s="1"/>
  <c r="AJ84" i="2" s="1"/>
  <c r="AJ85" i="2" s="1"/>
  <c r="AJ86" i="2" s="1"/>
  <c r="AJ87" i="2" s="1"/>
  <c r="AJ88" i="2" s="1"/>
  <c r="AJ89" i="2" s="1"/>
  <c r="AJ90" i="2" s="1"/>
  <c r="AJ91" i="2" s="1"/>
  <c r="AJ92" i="2" s="1"/>
  <c r="AJ93" i="2" s="1"/>
  <c r="AJ94" i="2" s="1"/>
  <c r="AJ95" i="2" s="1"/>
  <c r="AJ96" i="2" s="1"/>
  <c r="AJ97" i="2" s="1"/>
  <c r="AJ98" i="2" s="1"/>
  <c r="AJ99" i="2" s="1"/>
  <c r="AJ100" i="2" s="1"/>
  <c r="AJ101" i="2" s="1"/>
  <c r="AJ102" i="2" s="1"/>
  <c r="AJ103" i="2" s="1"/>
  <c r="AJ104" i="2" s="1"/>
  <c r="AJ105" i="2" s="1"/>
  <c r="AJ106" i="2" s="1"/>
  <c r="AJ107" i="2" s="1"/>
  <c r="AJ108" i="2" s="1"/>
  <c r="AJ109" i="2" s="1"/>
  <c r="AJ110" i="2" s="1"/>
  <c r="AJ111" i="2" s="1"/>
  <c r="AJ112" i="2" s="1"/>
  <c r="AJ113" i="2" s="1"/>
  <c r="AJ114" i="2" s="1"/>
  <c r="AJ115" i="2" s="1"/>
  <c r="AJ116" i="2" s="1"/>
  <c r="AJ117" i="2" s="1"/>
  <c r="AJ118" i="2" s="1"/>
  <c r="AJ119" i="2" s="1"/>
  <c r="AJ120" i="2" s="1"/>
  <c r="AJ121" i="2" s="1"/>
  <c r="AJ122" i="2" s="1"/>
  <c r="AJ123" i="2" s="1"/>
  <c r="AJ124" i="2" s="1"/>
  <c r="AJ125" i="2" s="1"/>
  <c r="AJ126" i="2" s="1"/>
  <c r="AJ127" i="2" s="1"/>
  <c r="AJ128" i="2" s="1"/>
  <c r="AJ129" i="2" s="1"/>
  <c r="AJ130" i="2" s="1"/>
  <c r="AJ131" i="2" s="1"/>
  <c r="AJ132" i="2" s="1"/>
  <c r="AJ133" i="2" s="1"/>
  <c r="AJ134" i="2" s="1"/>
  <c r="AJ135" i="2" s="1"/>
  <c r="AJ136" i="2" s="1"/>
  <c r="AJ137" i="2" s="1"/>
  <c r="AJ138" i="2" s="1"/>
  <c r="AJ139" i="2" s="1"/>
  <c r="AJ140" i="2" s="1"/>
  <c r="AJ141" i="2" s="1"/>
  <c r="AJ142" i="2" s="1"/>
  <c r="AJ143" i="2" s="1"/>
  <c r="AJ144" i="2" s="1"/>
  <c r="AJ145" i="2" s="1"/>
  <c r="AJ146" i="2" s="1"/>
  <c r="AJ147" i="2" s="1"/>
  <c r="AJ148" i="2" s="1"/>
  <c r="AJ149" i="2" s="1"/>
  <c r="AJ150" i="2" s="1"/>
  <c r="AJ151" i="2" s="1"/>
  <c r="AJ152" i="2" s="1"/>
  <c r="AJ153" i="2" s="1"/>
  <c r="AJ154" i="2" s="1"/>
  <c r="AJ155" i="2" s="1"/>
  <c r="AJ156" i="2" s="1"/>
  <c r="AJ157" i="2" s="1"/>
  <c r="AJ158" i="2" s="1"/>
  <c r="AJ159" i="2" s="1"/>
  <c r="AJ160" i="2" s="1"/>
  <c r="AJ161" i="2" s="1"/>
  <c r="AJ162" i="2" s="1"/>
  <c r="AJ163" i="2" s="1"/>
  <c r="AJ164" i="2" s="1"/>
  <c r="AJ165" i="2" s="1"/>
  <c r="AJ166" i="2" s="1"/>
  <c r="AJ167" i="2" s="1"/>
  <c r="AJ168" i="2" s="1"/>
  <c r="AJ169" i="2" s="1"/>
  <c r="AJ170" i="2" s="1"/>
  <c r="AJ171" i="2" s="1"/>
  <c r="AJ172" i="2" s="1"/>
  <c r="AJ173" i="2" s="1"/>
  <c r="AJ174" i="2" s="1"/>
  <c r="AJ175" i="2" s="1"/>
  <c r="AJ176" i="2" s="1"/>
  <c r="AJ177" i="2" s="1"/>
  <c r="AJ178" i="2" s="1"/>
  <c r="AJ179" i="2" s="1"/>
  <c r="AJ180" i="2" s="1"/>
  <c r="AJ181" i="2" s="1"/>
  <c r="AJ182" i="2" s="1"/>
  <c r="AJ183" i="2" s="1"/>
  <c r="AJ184" i="2" s="1"/>
  <c r="AJ185" i="2" s="1"/>
  <c r="AJ186" i="2" s="1"/>
  <c r="AJ187" i="2" s="1"/>
  <c r="AJ188" i="2" s="1"/>
  <c r="AJ189" i="2" s="1"/>
  <c r="AJ190" i="2" s="1"/>
  <c r="AJ191" i="2" s="1"/>
  <c r="AJ192" i="2" s="1"/>
  <c r="AJ193" i="2" s="1"/>
  <c r="AJ194" i="2" s="1"/>
  <c r="AJ195" i="2" s="1"/>
  <c r="AJ196" i="2" s="1"/>
  <c r="AJ197" i="2" s="1"/>
  <c r="AJ198" i="2" s="1"/>
  <c r="AJ199" i="2" s="1"/>
  <c r="AJ200" i="2" s="1"/>
  <c r="AJ201" i="2" s="1"/>
  <c r="AJ202" i="2" s="1"/>
  <c r="AJ203" i="2" s="1"/>
  <c r="AJ204" i="2" s="1"/>
  <c r="AK5" i="2"/>
  <c r="P42" i="1"/>
  <c r="Q64" i="2"/>
  <c r="AR205" i="2"/>
  <c r="P43" i="2" s="1"/>
  <c r="P32" i="1"/>
  <c r="P28" i="2"/>
  <c r="P37" i="1" s="1"/>
  <c r="AE188" i="2"/>
  <c r="AE88" i="2"/>
  <c r="AE146" i="2"/>
  <c r="AE162" i="2"/>
  <c r="AE180" i="2"/>
  <c r="AE113" i="2"/>
  <c r="AE169" i="2"/>
  <c r="AE31" i="2"/>
  <c r="AE46" i="2"/>
  <c r="AE7" i="2"/>
  <c r="AE24" i="2"/>
  <c r="AE168" i="2"/>
  <c r="AE15" i="2"/>
  <c r="AE182" i="2"/>
  <c r="AE126" i="2"/>
  <c r="AE71" i="2"/>
  <c r="AE58" i="2"/>
  <c r="AE161" i="2"/>
  <c r="AE139" i="2"/>
  <c r="AE72" i="2"/>
  <c r="AE159" i="2"/>
  <c r="AE49" i="2"/>
  <c r="AE118" i="2"/>
  <c r="AE172" i="2"/>
  <c r="AE79" i="2"/>
  <c r="AE106" i="2"/>
  <c r="AE204" i="2"/>
  <c r="AE148" i="2"/>
  <c r="AE140" i="2"/>
  <c r="AE93" i="2"/>
  <c r="AE96" i="2"/>
  <c r="AE124" i="2"/>
  <c r="AE192" i="2"/>
  <c r="AE30" i="2"/>
  <c r="AE149" i="2"/>
  <c r="AE165" i="2"/>
  <c r="AE112" i="2"/>
  <c r="AE194" i="2"/>
  <c r="AE138" i="2"/>
  <c r="AE94" i="2"/>
  <c r="AE184" i="2"/>
  <c r="AE110" i="2"/>
  <c r="AE87" i="2"/>
  <c r="AE109" i="2"/>
  <c r="AE129" i="2"/>
  <c r="AE40" i="2"/>
  <c r="AE63" i="2"/>
  <c r="AE21" i="2"/>
  <c r="AE102" i="2"/>
  <c r="AE70" i="2"/>
  <c r="AE39" i="2"/>
  <c r="AE116" i="2"/>
  <c r="AE86" i="2"/>
  <c r="AE90" i="2"/>
  <c r="AE53" i="2"/>
  <c r="AE203" i="2"/>
  <c r="AE199" i="2"/>
  <c r="AE6" i="2"/>
  <c r="AE189" i="2"/>
  <c r="AE150" i="2"/>
  <c r="AE137" i="2"/>
  <c r="AE14" i="2"/>
  <c r="AE95" i="2"/>
  <c r="AE47" i="2"/>
  <c r="AE67" i="2"/>
  <c r="AE133" i="2"/>
  <c r="AE125" i="2"/>
  <c r="AE190" i="2"/>
  <c r="AE134" i="2"/>
  <c r="AE52" i="2"/>
  <c r="AE37" i="2"/>
  <c r="AE25" i="2"/>
  <c r="AE84" i="2"/>
  <c r="AE185" i="2"/>
  <c r="AE200" i="2"/>
  <c r="AE117" i="2"/>
  <c r="AE69" i="2"/>
  <c r="AE55" i="2"/>
  <c r="AE41" i="2"/>
  <c r="AE177" i="2"/>
  <c r="AE92" i="2"/>
  <c r="AE178" i="2"/>
  <c r="AE99" i="2"/>
  <c r="AE105" i="2"/>
  <c r="AE61" i="2"/>
  <c r="AE171" i="2"/>
  <c r="AE50" i="2"/>
  <c r="AE56" i="2"/>
  <c r="AE176" i="2"/>
  <c r="AE98" i="2"/>
  <c r="AE17" i="2"/>
  <c r="AE81" i="2"/>
  <c r="AE34" i="2"/>
  <c r="AE154" i="2"/>
  <c r="AE136" i="2"/>
  <c r="AE62" i="2"/>
  <c r="AE26" i="2"/>
  <c r="AE89" i="2"/>
  <c r="AE80" i="2"/>
  <c r="AE66" i="2"/>
  <c r="AE29" i="2"/>
  <c r="AE131" i="2"/>
  <c r="AE198" i="2"/>
  <c r="AE153" i="2"/>
  <c r="AE108" i="2"/>
  <c r="AE97" i="2"/>
  <c r="AE18" i="2"/>
  <c r="AE158" i="2"/>
  <c r="AE12" i="2"/>
  <c r="AE54" i="2"/>
  <c r="AE64" i="2"/>
  <c r="AE141" i="2"/>
  <c r="AE8" i="2"/>
  <c r="AE155" i="2"/>
  <c r="AE122" i="2"/>
  <c r="AE120" i="2"/>
  <c r="AE164" i="2"/>
  <c r="AE36" i="2"/>
  <c r="AE128" i="2"/>
  <c r="AE100" i="2"/>
  <c r="AE74" i="2"/>
  <c r="AE173" i="2"/>
  <c r="AE167" i="2"/>
  <c r="AE142" i="2"/>
  <c r="AE163" i="2"/>
  <c r="AE179" i="2"/>
  <c r="AE23" i="2"/>
  <c r="AE193" i="2"/>
  <c r="AE42" i="2"/>
  <c r="AE143" i="2"/>
  <c r="AE196" i="2"/>
  <c r="AE28" i="2"/>
  <c r="AE166" i="2"/>
  <c r="AE65" i="2"/>
  <c r="AE48" i="2"/>
  <c r="AE51" i="2"/>
  <c r="AE9" i="2"/>
  <c r="AE83" i="2"/>
  <c r="AE5" i="2"/>
  <c r="AE107" i="2"/>
  <c r="AE78" i="2"/>
  <c r="AE27" i="2"/>
  <c r="AE156" i="2"/>
  <c r="AE77" i="2"/>
  <c r="AE104" i="2"/>
  <c r="AE186" i="2"/>
  <c r="AE82" i="2"/>
  <c r="AE91" i="2"/>
  <c r="AE114" i="2"/>
  <c r="AE157" i="2"/>
  <c r="AE20" i="2"/>
  <c r="AE73" i="2"/>
  <c r="AE59" i="2"/>
  <c r="AE101" i="2"/>
  <c r="AE57" i="2"/>
  <c r="AE76" i="2"/>
  <c r="AE68" i="2"/>
  <c r="AE175" i="2"/>
  <c r="AE187" i="2"/>
  <c r="AE181" i="2"/>
  <c r="AE43" i="2"/>
  <c r="AE144" i="2"/>
  <c r="P30" i="1"/>
  <c r="V80" i="2" s="1"/>
  <c r="AE85" i="2"/>
  <c r="AE160" i="2"/>
  <c r="AE202" i="2"/>
  <c r="AE111" i="2"/>
  <c r="AE32" i="2"/>
  <c r="AE197" i="2"/>
  <c r="AE121" i="2"/>
  <c r="AE152" i="2"/>
  <c r="AE201" i="2"/>
  <c r="AE16" i="2"/>
  <c r="AE45" i="2"/>
  <c r="AE130" i="2"/>
  <c r="AE191" i="2"/>
  <c r="AE10" i="2"/>
  <c r="AE135" i="2"/>
  <c r="AE44" i="2"/>
  <c r="AE147" i="2"/>
  <c r="AE127" i="2"/>
  <c r="AE60" i="2"/>
  <c r="AE183" i="2"/>
  <c r="AE75" i="2"/>
  <c r="AE19" i="2"/>
  <c r="AE151" i="2"/>
  <c r="AE145" i="2"/>
  <c r="AE132" i="2"/>
  <c r="AE38" i="2"/>
  <c r="AE33" i="2"/>
  <c r="AE115" i="2"/>
  <c r="AE22" i="2"/>
  <c r="AE195" i="2"/>
  <c r="AE174" i="2"/>
  <c r="AE13" i="2"/>
  <c r="AE123" i="2"/>
  <c r="AE35" i="2"/>
  <c r="AE103" i="2"/>
  <c r="AE11" i="2"/>
  <c r="AE170" i="2"/>
  <c r="AE119" i="2"/>
  <c r="AQ205" i="2"/>
  <c r="P42" i="2" s="1"/>
  <c r="AM5" i="2" l="1"/>
  <c r="AM6" i="2" s="1"/>
  <c r="AM7" i="2" s="1"/>
  <c r="AM8" i="2" s="1"/>
  <c r="AM9" i="2" s="1"/>
  <c r="AM10" i="2" s="1"/>
  <c r="AM11" i="2" s="1"/>
  <c r="AM12" i="2" s="1"/>
  <c r="AM13" i="2" s="1"/>
  <c r="AM14" i="2" s="1"/>
  <c r="AM15" i="2" s="1"/>
  <c r="AM16" i="2" s="1"/>
  <c r="AM17" i="2" s="1"/>
  <c r="AM18" i="2" s="1"/>
  <c r="AM19" i="2" s="1"/>
  <c r="AM20" i="2" s="1"/>
  <c r="AM21" i="2" s="1"/>
  <c r="AM22" i="2" s="1"/>
  <c r="AM23" i="2" s="1"/>
  <c r="AM24" i="2" s="1"/>
  <c r="AM25" i="2" s="1"/>
  <c r="AM26" i="2" s="1"/>
  <c r="AM27" i="2" s="1"/>
  <c r="AM28" i="2" s="1"/>
  <c r="AM29" i="2" s="1"/>
  <c r="AM30" i="2" s="1"/>
  <c r="AM31" i="2" s="1"/>
  <c r="AM32" i="2" s="1"/>
  <c r="AM33" i="2" s="1"/>
  <c r="AM34" i="2" s="1"/>
  <c r="AM35" i="2" s="1"/>
  <c r="AM36" i="2" s="1"/>
  <c r="AM37" i="2" s="1"/>
  <c r="AM38" i="2" s="1"/>
  <c r="AM39" i="2" s="1"/>
  <c r="AM40" i="2" s="1"/>
  <c r="AM41" i="2" s="1"/>
  <c r="AM42" i="2" s="1"/>
  <c r="AM43" i="2" s="1"/>
  <c r="AM44" i="2" s="1"/>
  <c r="AM45" i="2" s="1"/>
  <c r="AM46" i="2" s="1"/>
  <c r="AM47" i="2" s="1"/>
  <c r="AM48" i="2" s="1"/>
  <c r="AM49" i="2" s="1"/>
  <c r="AM50" i="2" s="1"/>
  <c r="AM51" i="2" s="1"/>
  <c r="AM52" i="2" s="1"/>
  <c r="AM53" i="2" s="1"/>
  <c r="AM54" i="2" s="1"/>
  <c r="AM55" i="2" s="1"/>
  <c r="AM56" i="2" s="1"/>
  <c r="AM57" i="2" s="1"/>
  <c r="AM58" i="2" s="1"/>
  <c r="AM59" i="2" s="1"/>
  <c r="AM60" i="2" s="1"/>
  <c r="AM61" i="2" s="1"/>
  <c r="AM62" i="2" s="1"/>
  <c r="AM63" i="2" s="1"/>
  <c r="AM64" i="2" s="1"/>
  <c r="AM65" i="2" s="1"/>
  <c r="AM66" i="2" s="1"/>
  <c r="AM67" i="2" s="1"/>
  <c r="AM68" i="2" s="1"/>
  <c r="AM69" i="2" s="1"/>
  <c r="AM70" i="2" s="1"/>
  <c r="AM71" i="2" s="1"/>
  <c r="AM72" i="2" s="1"/>
  <c r="AM73" i="2" s="1"/>
  <c r="AM74" i="2" s="1"/>
  <c r="AM75" i="2" s="1"/>
  <c r="AM76" i="2" s="1"/>
  <c r="AM77" i="2" s="1"/>
  <c r="AM78" i="2" s="1"/>
  <c r="AM79" i="2" s="1"/>
  <c r="AM80" i="2" s="1"/>
  <c r="AM81" i="2" s="1"/>
  <c r="AM82" i="2" s="1"/>
  <c r="AM83" i="2" s="1"/>
  <c r="AM84" i="2" s="1"/>
  <c r="AM85" i="2" s="1"/>
  <c r="AM86" i="2" s="1"/>
  <c r="AM87" i="2" s="1"/>
  <c r="AM88" i="2" s="1"/>
  <c r="AM89" i="2" s="1"/>
  <c r="AM90" i="2" s="1"/>
  <c r="AM91" i="2" s="1"/>
  <c r="AM92" i="2" s="1"/>
  <c r="AM93" i="2" s="1"/>
  <c r="AM94" i="2" s="1"/>
  <c r="AM95" i="2" s="1"/>
  <c r="AM96" i="2" s="1"/>
  <c r="AM97" i="2" s="1"/>
  <c r="AM98" i="2" s="1"/>
  <c r="AM99" i="2" s="1"/>
  <c r="AM100" i="2" s="1"/>
  <c r="AM101" i="2" s="1"/>
  <c r="AM102" i="2" s="1"/>
  <c r="AM103" i="2" s="1"/>
  <c r="AM104" i="2" s="1"/>
  <c r="AM105" i="2" s="1"/>
  <c r="AM106" i="2" s="1"/>
  <c r="AM107" i="2" s="1"/>
  <c r="AM108" i="2" s="1"/>
  <c r="AM109" i="2" s="1"/>
  <c r="AM110" i="2" s="1"/>
  <c r="AM111" i="2" s="1"/>
  <c r="AM112" i="2" s="1"/>
  <c r="AM113" i="2" s="1"/>
  <c r="AM114" i="2" s="1"/>
  <c r="AM115" i="2" s="1"/>
  <c r="AM116" i="2" s="1"/>
  <c r="AM117" i="2" s="1"/>
  <c r="AM118" i="2" s="1"/>
  <c r="AM119" i="2" s="1"/>
  <c r="AM120" i="2" s="1"/>
  <c r="AM121" i="2" s="1"/>
  <c r="AM122" i="2" s="1"/>
  <c r="AM123" i="2" s="1"/>
  <c r="AM124" i="2" s="1"/>
  <c r="AM125" i="2" s="1"/>
  <c r="AM126" i="2" s="1"/>
  <c r="AM127" i="2" s="1"/>
  <c r="AM128" i="2" s="1"/>
  <c r="AM129" i="2" s="1"/>
  <c r="AM130" i="2" s="1"/>
  <c r="AM131" i="2" s="1"/>
  <c r="AM132" i="2" s="1"/>
  <c r="AM133" i="2" s="1"/>
  <c r="AM134" i="2" s="1"/>
  <c r="AM135" i="2" s="1"/>
  <c r="AM136" i="2" s="1"/>
  <c r="AM137" i="2" s="1"/>
  <c r="AM138" i="2" s="1"/>
  <c r="AM139" i="2" s="1"/>
  <c r="AM140" i="2" s="1"/>
  <c r="AM141" i="2" s="1"/>
  <c r="AM142" i="2" s="1"/>
  <c r="AM143" i="2" s="1"/>
  <c r="AM144" i="2" s="1"/>
  <c r="AM145" i="2" s="1"/>
  <c r="AM146" i="2" s="1"/>
  <c r="AM147" i="2" s="1"/>
  <c r="AM148" i="2" s="1"/>
  <c r="AM149" i="2" s="1"/>
  <c r="AM150" i="2" s="1"/>
  <c r="AM151" i="2" s="1"/>
  <c r="AM152" i="2" s="1"/>
  <c r="AM153" i="2" s="1"/>
  <c r="AM154" i="2" s="1"/>
  <c r="AM155" i="2" s="1"/>
  <c r="AM156" i="2" s="1"/>
  <c r="AM157" i="2" s="1"/>
  <c r="AM158" i="2" s="1"/>
  <c r="AM159" i="2" s="1"/>
  <c r="AM160" i="2" s="1"/>
  <c r="AM161" i="2" s="1"/>
  <c r="AM162" i="2" s="1"/>
  <c r="AM163" i="2" s="1"/>
  <c r="AM164" i="2" s="1"/>
  <c r="AM165" i="2" s="1"/>
  <c r="AM166" i="2" s="1"/>
  <c r="AM167" i="2" s="1"/>
  <c r="AM168" i="2" s="1"/>
  <c r="AM169" i="2" s="1"/>
  <c r="AM170" i="2" s="1"/>
  <c r="AM171" i="2" s="1"/>
  <c r="AM172" i="2" s="1"/>
  <c r="AM173" i="2" s="1"/>
  <c r="AM174" i="2" s="1"/>
  <c r="AM175" i="2" s="1"/>
  <c r="AM176" i="2" s="1"/>
  <c r="AM177" i="2" s="1"/>
  <c r="AM178" i="2" s="1"/>
  <c r="AM179" i="2" s="1"/>
  <c r="AM180" i="2" s="1"/>
  <c r="AM181" i="2" s="1"/>
  <c r="AM182" i="2" s="1"/>
  <c r="AM183" i="2" s="1"/>
  <c r="AM184" i="2" s="1"/>
  <c r="AM185" i="2" s="1"/>
  <c r="AM186" i="2" s="1"/>
  <c r="AM187" i="2" s="1"/>
  <c r="AM188" i="2" s="1"/>
  <c r="AM189" i="2" s="1"/>
  <c r="AM190" i="2" s="1"/>
  <c r="AM191" i="2" s="1"/>
  <c r="AM192" i="2" s="1"/>
  <c r="AM193" i="2" s="1"/>
  <c r="AM194" i="2" s="1"/>
  <c r="AM195" i="2" s="1"/>
  <c r="AM196" i="2" s="1"/>
  <c r="AM197" i="2" s="1"/>
  <c r="AM198" i="2" s="1"/>
  <c r="AM199" i="2" s="1"/>
  <c r="AM200" i="2" s="1"/>
  <c r="AM201" i="2" s="1"/>
  <c r="AM202" i="2" s="1"/>
  <c r="AM203" i="2" s="1"/>
  <c r="AM204" i="2" s="1"/>
  <c r="AN5" i="2"/>
  <c r="AN6" i="2" s="1"/>
  <c r="AN7" i="2" s="1"/>
  <c r="AN8" i="2" s="1"/>
  <c r="AN9" i="2" s="1"/>
  <c r="AN10" i="2" s="1"/>
  <c r="AN11" i="2" s="1"/>
  <c r="AN12" i="2" s="1"/>
  <c r="AN13" i="2" s="1"/>
  <c r="AN14" i="2" s="1"/>
  <c r="AN15" i="2" s="1"/>
  <c r="AN16" i="2" s="1"/>
  <c r="AN17" i="2" s="1"/>
  <c r="AN18" i="2" s="1"/>
  <c r="AN19" i="2" s="1"/>
  <c r="AN20" i="2" s="1"/>
  <c r="AN21" i="2" s="1"/>
  <c r="AN22" i="2" s="1"/>
  <c r="AN23" i="2" s="1"/>
  <c r="AN24" i="2" s="1"/>
  <c r="AN25" i="2" s="1"/>
  <c r="AN26" i="2" s="1"/>
  <c r="AN27" i="2" s="1"/>
  <c r="AN28" i="2" s="1"/>
  <c r="AN29" i="2" s="1"/>
  <c r="AN30" i="2" s="1"/>
  <c r="AN31" i="2" s="1"/>
  <c r="AN32" i="2" s="1"/>
  <c r="AN33" i="2" s="1"/>
  <c r="AN34" i="2" s="1"/>
  <c r="AN35" i="2" s="1"/>
  <c r="AN36" i="2" s="1"/>
  <c r="AN37" i="2" s="1"/>
  <c r="AN38" i="2" s="1"/>
  <c r="AN39" i="2" s="1"/>
  <c r="AN40" i="2" s="1"/>
  <c r="AN41" i="2" s="1"/>
  <c r="AN42" i="2" s="1"/>
  <c r="AN43" i="2" s="1"/>
  <c r="AN44" i="2" s="1"/>
  <c r="AN45" i="2" s="1"/>
  <c r="AN46" i="2" s="1"/>
  <c r="AN47" i="2" s="1"/>
  <c r="AN48" i="2" s="1"/>
  <c r="AN49" i="2" s="1"/>
  <c r="AN50" i="2" s="1"/>
  <c r="AN51" i="2" s="1"/>
  <c r="AN52" i="2" s="1"/>
  <c r="AN53" i="2" s="1"/>
  <c r="AN54" i="2" s="1"/>
  <c r="AN55" i="2" s="1"/>
  <c r="AN56" i="2" s="1"/>
  <c r="AN57" i="2" s="1"/>
  <c r="AN58" i="2" s="1"/>
  <c r="AN59" i="2" s="1"/>
  <c r="AN60" i="2" s="1"/>
  <c r="AN61" i="2" s="1"/>
  <c r="AN62" i="2" s="1"/>
  <c r="AN63" i="2" s="1"/>
  <c r="AN64" i="2" s="1"/>
  <c r="AN65" i="2" s="1"/>
  <c r="AN66" i="2" s="1"/>
  <c r="AN67" i="2" s="1"/>
  <c r="AN68" i="2" s="1"/>
  <c r="AN69" i="2" s="1"/>
  <c r="AN70" i="2" s="1"/>
  <c r="AN71" i="2" s="1"/>
  <c r="AN72" i="2" s="1"/>
  <c r="AN73" i="2" s="1"/>
  <c r="AN74" i="2" s="1"/>
  <c r="AN75" i="2" s="1"/>
  <c r="AN76" i="2" s="1"/>
  <c r="AN77" i="2" s="1"/>
  <c r="AN78" i="2" s="1"/>
  <c r="AN79" i="2" s="1"/>
  <c r="AN80" i="2" s="1"/>
  <c r="AN81" i="2" s="1"/>
  <c r="AN82" i="2" s="1"/>
  <c r="AN83" i="2" s="1"/>
  <c r="AN84" i="2" s="1"/>
  <c r="AN85" i="2" s="1"/>
  <c r="AN86" i="2" s="1"/>
  <c r="AN87" i="2" s="1"/>
  <c r="AN88" i="2" s="1"/>
  <c r="AN89" i="2" s="1"/>
  <c r="AN90" i="2" s="1"/>
  <c r="AN91" i="2" s="1"/>
  <c r="AN92" i="2" s="1"/>
  <c r="AN93" i="2" s="1"/>
  <c r="AN94" i="2" s="1"/>
  <c r="AN95" i="2" s="1"/>
  <c r="AN96" i="2" s="1"/>
  <c r="AN97" i="2" s="1"/>
  <c r="AN98" i="2" s="1"/>
  <c r="AN99" i="2" s="1"/>
  <c r="AN100" i="2" s="1"/>
  <c r="AN101" i="2" s="1"/>
  <c r="AN102" i="2" s="1"/>
  <c r="AN103" i="2" s="1"/>
  <c r="AN104" i="2" s="1"/>
  <c r="AN105" i="2" s="1"/>
  <c r="AN106" i="2" s="1"/>
  <c r="AN107" i="2" s="1"/>
  <c r="AN108" i="2" s="1"/>
  <c r="AN109" i="2" s="1"/>
  <c r="AN110" i="2" s="1"/>
  <c r="AN111" i="2" s="1"/>
  <c r="AN112" i="2" s="1"/>
  <c r="AN113" i="2" s="1"/>
  <c r="AN114" i="2" s="1"/>
  <c r="AN115" i="2" s="1"/>
  <c r="AN116" i="2" s="1"/>
  <c r="AN117" i="2" s="1"/>
  <c r="AN118" i="2" s="1"/>
  <c r="AN119" i="2" s="1"/>
  <c r="AN120" i="2" s="1"/>
  <c r="AN121" i="2" s="1"/>
  <c r="AN122" i="2" s="1"/>
  <c r="AN123" i="2" s="1"/>
  <c r="AN124" i="2" s="1"/>
  <c r="AN125" i="2" s="1"/>
  <c r="AN126" i="2" s="1"/>
  <c r="AN127" i="2" s="1"/>
  <c r="AN128" i="2" s="1"/>
  <c r="AN129" i="2" s="1"/>
  <c r="AN130" i="2" s="1"/>
  <c r="AN131" i="2" s="1"/>
  <c r="AN132" i="2" s="1"/>
  <c r="AN133" i="2" s="1"/>
  <c r="AN134" i="2" s="1"/>
  <c r="AN135" i="2" s="1"/>
  <c r="AN136" i="2" s="1"/>
  <c r="AN137" i="2" s="1"/>
  <c r="AN138" i="2" s="1"/>
  <c r="AN139" i="2" s="1"/>
  <c r="AN140" i="2" s="1"/>
  <c r="AN141" i="2" s="1"/>
  <c r="AN142" i="2" s="1"/>
  <c r="AN143" i="2" s="1"/>
  <c r="AN144" i="2" s="1"/>
  <c r="AN145" i="2" s="1"/>
  <c r="AN146" i="2" s="1"/>
  <c r="AN147" i="2" s="1"/>
  <c r="AN148" i="2" s="1"/>
  <c r="AN149" i="2" s="1"/>
  <c r="AN150" i="2" s="1"/>
  <c r="AN151" i="2" s="1"/>
  <c r="AN152" i="2" s="1"/>
  <c r="AN153" i="2" s="1"/>
  <c r="AN154" i="2" s="1"/>
  <c r="AN155" i="2" s="1"/>
  <c r="AN156" i="2" s="1"/>
  <c r="AN157" i="2" s="1"/>
  <c r="AN158" i="2" s="1"/>
  <c r="AN159" i="2" s="1"/>
  <c r="AN160" i="2" s="1"/>
  <c r="AN161" i="2" s="1"/>
  <c r="AN162" i="2" s="1"/>
  <c r="AN163" i="2" s="1"/>
  <c r="AN164" i="2" s="1"/>
  <c r="AN165" i="2" s="1"/>
  <c r="AN166" i="2" s="1"/>
  <c r="AN167" i="2" s="1"/>
  <c r="AN168" i="2" s="1"/>
  <c r="AN169" i="2" s="1"/>
  <c r="AN170" i="2" s="1"/>
  <c r="AN171" i="2" s="1"/>
  <c r="AN172" i="2" s="1"/>
  <c r="AN173" i="2" s="1"/>
  <c r="AN174" i="2" s="1"/>
  <c r="AN175" i="2" s="1"/>
  <c r="AN176" i="2" s="1"/>
  <c r="AN177" i="2" s="1"/>
  <c r="AN178" i="2" s="1"/>
  <c r="AN179" i="2" s="1"/>
  <c r="AN180" i="2" s="1"/>
  <c r="AN181" i="2" s="1"/>
  <c r="AN182" i="2" s="1"/>
  <c r="AN183" i="2" s="1"/>
  <c r="AN184" i="2" s="1"/>
  <c r="AN185" i="2" s="1"/>
  <c r="AN186" i="2" s="1"/>
  <c r="AN187" i="2" s="1"/>
  <c r="AN188" i="2" s="1"/>
  <c r="AN189" i="2" s="1"/>
  <c r="AN190" i="2" s="1"/>
  <c r="AN191" i="2" s="1"/>
  <c r="AN192" i="2" s="1"/>
  <c r="AN193" i="2" s="1"/>
  <c r="AN194" i="2" s="1"/>
  <c r="AN195" i="2" s="1"/>
  <c r="AN196" i="2" s="1"/>
  <c r="AN197" i="2" s="1"/>
  <c r="AN198" i="2" s="1"/>
  <c r="AN199" i="2" s="1"/>
  <c r="AN200" i="2" s="1"/>
  <c r="AN201" i="2" s="1"/>
  <c r="AN202" i="2" s="1"/>
  <c r="AN203" i="2" s="1"/>
  <c r="AN204" i="2" s="1"/>
  <c r="R64" i="2"/>
  <c r="Q65" i="2"/>
  <c r="BC8" i="2"/>
  <c r="BC9" i="2" s="1"/>
  <c r="AH6" i="2"/>
  <c r="AK6" i="2"/>
  <c r="P36" i="1"/>
  <c r="P29" i="2"/>
  <c r="P38" i="1" s="1"/>
  <c r="BG107" i="2"/>
  <c r="AN4" i="2"/>
  <c r="U80" i="2"/>
  <c r="O35" i="1"/>
  <c r="O37" i="1"/>
  <c r="O36" i="1"/>
  <c r="R38" i="1"/>
  <c r="U79" i="2"/>
  <c r="N2" i="1"/>
  <c r="AM4" i="2"/>
  <c r="O38" i="1"/>
  <c r="Q37" i="1" s="1"/>
  <c r="P29" i="1"/>
  <c r="S88" i="2"/>
  <c r="R87" i="2"/>
  <c r="R89" i="2"/>
  <c r="P44" i="2"/>
  <c r="V79" i="2"/>
  <c r="AW24" i="2"/>
  <c r="AZ5" i="2"/>
  <c r="AZ6" i="2" s="1"/>
  <c r="AZ7" i="2" s="1"/>
  <c r="AZ8" i="2" s="1"/>
  <c r="AZ9" i="2" s="1"/>
  <c r="AZ10" i="2" s="1"/>
  <c r="AZ11" i="2" s="1"/>
  <c r="AZ12" i="2" s="1"/>
  <c r="AZ13" i="2" s="1"/>
  <c r="AZ14" i="2" s="1"/>
  <c r="AZ15" i="2" s="1"/>
  <c r="AZ16" i="2" s="1"/>
  <c r="P39" i="2"/>
  <c r="R90" i="2" l="1"/>
  <c r="S89" i="2"/>
  <c r="BH107" i="2"/>
  <c r="AK7" i="2"/>
  <c r="AK8" i="2" s="1"/>
  <c r="AK9" i="2" s="1"/>
  <c r="AK10" i="2" s="1"/>
  <c r="AK11" i="2" s="1"/>
  <c r="AK12" i="2" s="1"/>
  <c r="AK13" i="2" s="1"/>
  <c r="AK14" i="2" s="1"/>
  <c r="AK15" i="2" s="1"/>
  <c r="AK16" i="2" s="1"/>
  <c r="AK17" i="2" s="1"/>
  <c r="AK18" i="2" s="1"/>
  <c r="AK19" i="2" s="1"/>
  <c r="AK20" i="2" s="1"/>
  <c r="AK21" i="2" s="1"/>
  <c r="AK22" i="2" s="1"/>
  <c r="AK23" i="2" s="1"/>
  <c r="AK24" i="2" s="1"/>
  <c r="AK25" i="2" s="1"/>
  <c r="AK26" i="2" s="1"/>
  <c r="AK27" i="2" s="1"/>
  <c r="AK28" i="2" s="1"/>
  <c r="AK29" i="2" s="1"/>
  <c r="AK30" i="2" s="1"/>
  <c r="AK31" i="2" s="1"/>
  <c r="AK32" i="2" s="1"/>
  <c r="AK33" i="2" s="1"/>
  <c r="AK34" i="2" s="1"/>
  <c r="AK35" i="2" s="1"/>
  <c r="AK36" i="2" s="1"/>
  <c r="AK37" i="2" s="1"/>
  <c r="AK38" i="2" s="1"/>
  <c r="AK39" i="2" s="1"/>
  <c r="AK40" i="2" s="1"/>
  <c r="AK41" i="2" s="1"/>
  <c r="AK42" i="2" s="1"/>
  <c r="AK43" i="2" s="1"/>
  <c r="AK44" i="2" s="1"/>
  <c r="AK45" i="2" s="1"/>
  <c r="AK46" i="2" s="1"/>
  <c r="AK47" i="2" s="1"/>
  <c r="AK48" i="2" s="1"/>
  <c r="AK49" i="2" s="1"/>
  <c r="AK50" i="2" s="1"/>
  <c r="AK51" i="2" s="1"/>
  <c r="AK52" i="2" s="1"/>
  <c r="AK53" i="2" s="1"/>
  <c r="AK54" i="2" s="1"/>
  <c r="AK55" i="2" s="1"/>
  <c r="AK56" i="2" s="1"/>
  <c r="AK57" i="2" s="1"/>
  <c r="AK58" i="2" s="1"/>
  <c r="AK59" i="2" s="1"/>
  <c r="AK60" i="2" s="1"/>
  <c r="AK61" i="2" s="1"/>
  <c r="AK62" i="2" s="1"/>
  <c r="AK63" i="2" s="1"/>
  <c r="AK64" i="2" s="1"/>
  <c r="AK65" i="2" s="1"/>
  <c r="AK66" i="2" s="1"/>
  <c r="AK67" i="2" s="1"/>
  <c r="AK68" i="2" s="1"/>
  <c r="AK69" i="2" s="1"/>
  <c r="AK70" i="2" s="1"/>
  <c r="AK71" i="2" s="1"/>
  <c r="AK72" i="2" s="1"/>
  <c r="AK73" i="2" s="1"/>
  <c r="AK74" i="2" s="1"/>
  <c r="AK75" i="2" s="1"/>
  <c r="AK76" i="2" s="1"/>
  <c r="AK77" i="2" s="1"/>
  <c r="AK78" i="2" s="1"/>
  <c r="AK79" i="2" s="1"/>
  <c r="AK80" i="2" s="1"/>
  <c r="AK81" i="2" s="1"/>
  <c r="AK82" i="2" s="1"/>
  <c r="AK83" i="2" s="1"/>
  <c r="AK84" i="2" s="1"/>
  <c r="AK85" i="2" s="1"/>
  <c r="AK86" i="2" s="1"/>
  <c r="AK87" i="2" s="1"/>
  <c r="AK88" i="2" s="1"/>
  <c r="AK89" i="2" s="1"/>
  <c r="AK90" i="2" s="1"/>
  <c r="AK91" i="2" s="1"/>
  <c r="AK92" i="2" s="1"/>
  <c r="AK93" i="2" s="1"/>
  <c r="AK94" i="2" s="1"/>
  <c r="AK95" i="2" s="1"/>
  <c r="AK96" i="2" s="1"/>
  <c r="AK97" i="2" s="1"/>
  <c r="AK98" i="2" s="1"/>
  <c r="AK99" i="2" s="1"/>
  <c r="AK100" i="2" s="1"/>
  <c r="AK101" i="2" s="1"/>
  <c r="AK102" i="2" s="1"/>
  <c r="AK103" i="2" s="1"/>
  <c r="AK104" i="2" s="1"/>
  <c r="AK105" i="2" s="1"/>
  <c r="AK106" i="2" s="1"/>
  <c r="AK107" i="2" s="1"/>
  <c r="AK108" i="2" s="1"/>
  <c r="AK109" i="2" s="1"/>
  <c r="AK110" i="2" s="1"/>
  <c r="AK111" i="2" s="1"/>
  <c r="AK112" i="2" s="1"/>
  <c r="AK113" i="2" s="1"/>
  <c r="AK114" i="2" s="1"/>
  <c r="AK115" i="2" s="1"/>
  <c r="AK116" i="2" s="1"/>
  <c r="AK117" i="2" s="1"/>
  <c r="AK118" i="2" s="1"/>
  <c r="AK119" i="2" s="1"/>
  <c r="AK120" i="2" s="1"/>
  <c r="AK121" i="2" s="1"/>
  <c r="AK122" i="2" s="1"/>
  <c r="AK123" i="2" s="1"/>
  <c r="AK124" i="2" s="1"/>
  <c r="AK125" i="2" s="1"/>
  <c r="AK126" i="2" s="1"/>
  <c r="AK127" i="2" s="1"/>
  <c r="AK128" i="2" s="1"/>
  <c r="AK129" i="2" s="1"/>
  <c r="AK130" i="2" s="1"/>
  <c r="AK131" i="2" s="1"/>
  <c r="AK132" i="2" s="1"/>
  <c r="AK133" i="2" s="1"/>
  <c r="AK134" i="2" s="1"/>
  <c r="AK135" i="2" s="1"/>
  <c r="AK136" i="2" s="1"/>
  <c r="AK137" i="2" s="1"/>
  <c r="AK138" i="2" s="1"/>
  <c r="AK139" i="2" s="1"/>
  <c r="AK140" i="2" s="1"/>
  <c r="AK141" i="2" s="1"/>
  <c r="AK142" i="2" s="1"/>
  <c r="AK143" i="2" s="1"/>
  <c r="AK144" i="2" s="1"/>
  <c r="AK145" i="2" s="1"/>
  <c r="AK146" i="2" s="1"/>
  <c r="AK147" i="2" s="1"/>
  <c r="AK148" i="2" s="1"/>
  <c r="AK149" i="2" s="1"/>
  <c r="AK150" i="2" s="1"/>
  <c r="AK151" i="2" s="1"/>
  <c r="AK152" i="2" s="1"/>
  <c r="AK153" i="2" s="1"/>
  <c r="AK154" i="2" s="1"/>
  <c r="AK155" i="2" s="1"/>
  <c r="AK156" i="2" s="1"/>
  <c r="AK157" i="2" s="1"/>
  <c r="AK158" i="2" s="1"/>
  <c r="AK159" i="2" s="1"/>
  <c r="AK160" i="2" s="1"/>
  <c r="AK161" i="2" s="1"/>
  <c r="AK162" i="2" s="1"/>
  <c r="AK163" i="2" s="1"/>
  <c r="AK164" i="2" s="1"/>
  <c r="AK165" i="2" s="1"/>
  <c r="AK166" i="2" s="1"/>
  <c r="AK167" i="2" s="1"/>
  <c r="AK168" i="2" s="1"/>
  <c r="AK169" i="2" s="1"/>
  <c r="AK170" i="2" s="1"/>
  <c r="AK171" i="2" s="1"/>
  <c r="AK172" i="2" s="1"/>
  <c r="AK173" i="2" s="1"/>
  <c r="AK174" i="2" s="1"/>
  <c r="AK175" i="2" s="1"/>
  <c r="AK176" i="2" s="1"/>
  <c r="AK177" i="2" s="1"/>
  <c r="AK178" i="2" s="1"/>
  <c r="AK179" i="2" s="1"/>
  <c r="AK180" i="2" s="1"/>
  <c r="AK181" i="2" s="1"/>
  <c r="AK182" i="2" s="1"/>
  <c r="AK183" i="2" s="1"/>
  <c r="AK184" i="2" s="1"/>
  <c r="AK185" i="2" s="1"/>
  <c r="AK186" i="2" s="1"/>
  <c r="AK187" i="2" s="1"/>
  <c r="AK188" i="2" s="1"/>
  <c r="AK189" i="2" s="1"/>
  <c r="AK190" i="2" s="1"/>
  <c r="AK191" i="2" s="1"/>
  <c r="AK192" i="2" s="1"/>
  <c r="AK193" i="2" s="1"/>
  <c r="AK194" i="2" s="1"/>
  <c r="AK195" i="2" s="1"/>
  <c r="AK196" i="2" s="1"/>
  <c r="AK197" i="2" s="1"/>
  <c r="AK198" i="2" s="1"/>
  <c r="AK199" i="2" s="1"/>
  <c r="AK200" i="2" s="1"/>
  <c r="AK201" i="2" s="1"/>
  <c r="AK202" i="2" s="1"/>
  <c r="AK203" i="2" s="1"/>
  <c r="AK204" i="2" s="1"/>
  <c r="AH7" i="2"/>
  <c r="AH8" i="2" s="1"/>
  <c r="AH9" i="2" s="1"/>
  <c r="AH10" i="2" s="1"/>
  <c r="AH11" i="2" s="1"/>
  <c r="AH12" i="2" s="1"/>
  <c r="AH13" i="2" s="1"/>
  <c r="AH14" i="2" s="1"/>
  <c r="AH15" i="2" s="1"/>
  <c r="AH16" i="2" s="1"/>
  <c r="AH17" i="2" s="1"/>
  <c r="AH18" i="2" s="1"/>
  <c r="AH19" i="2" s="1"/>
  <c r="AH20" i="2" s="1"/>
  <c r="AH21" i="2" s="1"/>
  <c r="AH22" i="2" s="1"/>
  <c r="AH23" i="2" s="1"/>
  <c r="AH24" i="2" s="1"/>
  <c r="AH25" i="2" s="1"/>
  <c r="AH26" i="2" s="1"/>
  <c r="AH27" i="2" s="1"/>
  <c r="AH28" i="2" s="1"/>
  <c r="AH29" i="2" s="1"/>
  <c r="AH30" i="2" s="1"/>
  <c r="AH31" i="2" s="1"/>
  <c r="AH32" i="2" s="1"/>
  <c r="AH33" i="2" s="1"/>
  <c r="AH34" i="2" s="1"/>
  <c r="AH35" i="2" s="1"/>
  <c r="AH36" i="2" s="1"/>
  <c r="AH37" i="2" s="1"/>
  <c r="AH38" i="2" s="1"/>
  <c r="AH39" i="2" s="1"/>
  <c r="AH40" i="2" s="1"/>
  <c r="AH41" i="2" s="1"/>
  <c r="AH42" i="2" s="1"/>
  <c r="AH43" i="2" s="1"/>
  <c r="AH44" i="2" s="1"/>
  <c r="AH45" i="2" s="1"/>
  <c r="AH46" i="2" s="1"/>
  <c r="AH47" i="2" s="1"/>
  <c r="AH48" i="2" s="1"/>
  <c r="AH49" i="2" s="1"/>
  <c r="AH50" i="2" s="1"/>
  <c r="AH51" i="2" s="1"/>
  <c r="AH52" i="2" s="1"/>
  <c r="AH53" i="2" s="1"/>
  <c r="AH54" i="2" s="1"/>
  <c r="AH55" i="2" s="1"/>
  <c r="AH56" i="2" s="1"/>
  <c r="AH57" i="2" s="1"/>
  <c r="AH58" i="2" s="1"/>
  <c r="AH59" i="2" s="1"/>
  <c r="AH60" i="2" s="1"/>
  <c r="AH61" i="2" s="1"/>
  <c r="AH62" i="2" s="1"/>
  <c r="AH63" i="2" s="1"/>
  <c r="AH64" i="2" s="1"/>
  <c r="AH65" i="2" s="1"/>
  <c r="AH66" i="2" s="1"/>
  <c r="AH67" i="2" s="1"/>
  <c r="AH68" i="2" s="1"/>
  <c r="AH69" i="2" s="1"/>
  <c r="AH70" i="2" s="1"/>
  <c r="AH71" i="2" s="1"/>
  <c r="AH72" i="2" s="1"/>
  <c r="AH73" i="2" s="1"/>
  <c r="AH74" i="2" s="1"/>
  <c r="AH75" i="2" s="1"/>
  <c r="AH76" i="2" s="1"/>
  <c r="AH77" i="2" s="1"/>
  <c r="AH78" i="2" s="1"/>
  <c r="AH79" i="2" s="1"/>
  <c r="AH80" i="2" s="1"/>
  <c r="AH81" i="2" s="1"/>
  <c r="AH82" i="2" s="1"/>
  <c r="AH83" i="2" s="1"/>
  <c r="AH84" i="2" s="1"/>
  <c r="AH85" i="2" s="1"/>
  <c r="AH86" i="2" s="1"/>
  <c r="AH87" i="2" s="1"/>
  <c r="AH88" i="2" s="1"/>
  <c r="AH89" i="2" s="1"/>
  <c r="AH90" i="2" s="1"/>
  <c r="AH91" i="2" s="1"/>
  <c r="AH92" i="2" s="1"/>
  <c r="AH93" i="2" s="1"/>
  <c r="AH94" i="2" s="1"/>
  <c r="AH95" i="2" s="1"/>
  <c r="AH96" i="2" s="1"/>
  <c r="AH97" i="2" s="1"/>
  <c r="AH98" i="2" s="1"/>
  <c r="AH99" i="2" s="1"/>
  <c r="AH100" i="2" s="1"/>
  <c r="AH101" i="2" s="1"/>
  <c r="AH102" i="2" s="1"/>
  <c r="AH103" i="2" s="1"/>
  <c r="AH104" i="2" s="1"/>
  <c r="AH105" i="2" s="1"/>
  <c r="AH106" i="2" s="1"/>
  <c r="AH107" i="2" s="1"/>
  <c r="AH108" i="2" s="1"/>
  <c r="AH109" i="2" s="1"/>
  <c r="AH110" i="2" s="1"/>
  <c r="AH111" i="2" s="1"/>
  <c r="AH112" i="2" s="1"/>
  <c r="AH113" i="2" s="1"/>
  <c r="AH114" i="2" s="1"/>
  <c r="AH115" i="2" s="1"/>
  <c r="AH116" i="2" s="1"/>
  <c r="AH117" i="2" s="1"/>
  <c r="AH118" i="2" s="1"/>
  <c r="AH119" i="2" s="1"/>
  <c r="AH120" i="2" s="1"/>
  <c r="AH121" i="2" s="1"/>
  <c r="AH122" i="2" s="1"/>
  <c r="AH123" i="2" s="1"/>
  <c r="AH124" i="2" s="1"/>
  <c r="AH125" i="2" s="1"/>
  <c r="AH126" i="2" s="1"/>
  <c r="AH127" i="2" s="1"/>
  <c r="AH128" i="2" s="1"/>
  <c r="AH129" i="2" s="1"/>
  <c r="AH130" i="2" s="1"/>
  <c r="AH131" i="2" s="1"/>
  <c r="AH132" i="2" s="1"/>
  <c r="AH133" i="2" s="1"/>
  <c r="AH134" i="2" s="1"/>
  <c r="AH135" i="2" s="1"/>
  <c r="AH136" i="2" s="1"/>
  <c r="AH137" i="2" s="1"/>
  <c r="AH138" i="2" s="1"/>
  <c r="AH139" i="2" s="1"/>
  <c r="AH140" i="2" s="1"/>
  <c r="AH141" i="2" s="1"/>
  <c r="AH142" i="2" s="1"/>
  <c r="AH143" i="2" s="1"/>
  <c r="AH144" i="2" s="1"/>
  <c r="AH145" i="2" s="1"/>
  <c r="AH146" i="2" s="1"/>
  <c r="AH147" i="2" s="1"/>
  <c r="AH148" i="2" s="1"/>
  <c r="AH149" i="2" s="1"/>
  <c r="AH150" i="2" s="1"/>
  <c r="AH151" i="2" s="1"/>
  <c r="AH152" i="2" s="1"/>
  <c r="AH153" i="2" s="1"/>
  <c r="AH154" i="2" s="1"/>
  <c r="AH155" i="2" s="1"/>
  <c r="AH156" i="2" s="1"/>
  <c r="AH157" i="2" s="1"/>
  <c r="AH158" i="2" s="1"/>
  <c r="AH159" i="2" s="1"/>
  <c r="AH160" i="2" s="1"/>
  <c r="AH161" i="2" s="1"/>
  <c r="AH162" i="2" s="1"/>
  <c r="AH163" i="2" s="1"/>
  <c r="AH164" i="2" s="1"/>
  <c r="AH165" i="2" s="1"/>
  <c r="AH166" i="2" s="1"/>
  <c r="AH167" i="2" s="1"/>
  <c r="AH168" i="2" s="1"/>
  <c r="AH169" i="2" s="1"/>
  <c r="AH170" i="2" s="1"/>
  <c r="AH171" i="2" s="1"/>
  <c r="AH172" i="2" s="1"/>
  <c r="AH173" i="2" s="1"/>
  <c r="AH174" i="2" s="1"/>
  <c r="AH175" i="2" s="1"/>
  <c r="AH176" i="2" s="1"/>
  <c r="AH177" i="2" s="1"/>
  <c r="AH178" i="2" s="1"/>
  <c r="AH179" i="2" s="1"/>
  <c r="AH180" i="2" s="1"/>
  <c r="AH181" i="2" s="1"/>
  <c r="AH182" i="2" s="1"/>
  <c r="AH183" i="2" s="1"/>
  <c r="AH184" i="2" s="1"/>
  <c r="AH185" i="2" s="1"/>
  <c r="AH186" i="2" s="1"/>
  <c r="AH187" i="2" s="1"/>
  <c r="AH188" i="2" s="1"/>
  <c r="AH189" i="2" s="1"/>
  <c r="AH190" i="2" s="1"/>
  <c r="AH191" i="2" s="1"/>
  <c r="AH192" i="2" s="1"/>
  <c r="AH193" i="2" s="1"/>
  <c r="AH194" i="2" s="1"/>
  <c r="AH195" i="2" s="1"/>
  <c r="AH196" i="2" s="1"/>
  <c r="AH197" i="2" s="1"/>
  <c r="AH198" i="2" s="1"/>
  <c r="AH199" i="2" s="1"/>
  <c r="AH200" i="2" s="1"/>
  <c r="AH201" i="2" s="1"/>
  <c r="AH202" i="2" s="1"/>
  <c r="AH203" i="2" s="1"/>
  <c r="AH204" i="2" s="1"/>
  <c r="S64" i="2"/>
  <c r="U64" i="2"/>
  <c r="R65" i="2"/>
  <c r="Q66" i="2"/>
  <c r="S87" i="2"/>
  <c r="R86" i="2"/>
  <c r="BD8" i="2"/>
  <c r="BC10" i="2"/>
  <c r="BC11" i="2" l="1"/>
  <c r="BD9" i="2"/>
  <c r="R66" i="2"/>
  <c r="Q67" i="2"/>
  <c r="BE8" i="2"/>
  <c r="BG8" i="2"/>
  <c r="S65" i="2"/>
  <c r="U65" i="2"/>
  <c r="R91" i="2"/>
  <c r="S90" i="2"/>
  <c r="R85" i="2"/>
  <c r="S86" i="2"/>
  <c r="V64" i="2"/>
  <c r="W64" i="2"/>
  <c r="X64" i="2" s="1"/>
  <c r="Y64" i="2" s="1"/>
  <c r="BH8" i="2" l="1"/>
  <c r="BI8" i="2"/>
  <c r="BJ8" i="2" s="1"/>
  <c r="BK8" i="2" s="1"/>
  <c r="BE9" i="2"/>
  <c r="BG9" i="2"/>
  <c r="BF9" i="2"/>
  <c r="S85" i="2"/>
  <c r="R84" i="2"/>
  <c r="S66" i="2"/>
  <c r="U66" i="2"/>
  <c r="S91" i="2"/>
  <c r="R92" i="2"/>
  <c r="BD10" i="2"/>
  <c r="BC12" i="2"/>
  <c r="W65" i="2"/>
  <c r="X65" i="2" s="1"/>
  <c r="Y65" i="2" s="1"/>
  <c r="V65" i="2"/>
  <c r="R67" i="2"/>
  <c r="Q68" i="2"/>
  <c r="S92" i="2" l="1"/>
  <c r="R93" i="2"/>
  <c r="Q69" i="2"/>
  <c r="R68" i="2"/>
  <c r="BD11" i="2"/>
  <c r="BC13" i="2"/>
  <c r="V66" i="2"/>
  <c r="W66" i="2"/>
  <c r="X66" i="2" s="1"/>
  <c r="Y66" i="2" s="1"/>
  <c r="S84" i="2"/>
  <c r="R83" i="2"/>
  <c r="S67" i="2"/>
  <c r="U67" i="2"/>
  <c r="BG10" i="2"/>
  <c r="BF10" i="2"/>
  <c r="BE10" i="2"/>
  <c r="BH9" i="2"/>
  <c r="BM9" i="2" s="1"/>
  <c r="BI9" i="2"/>
  <c r="BJ9" i="2" s="1"/>
  <c r="BK9" i="2" s="1"/>
  <c r="R82" i="2" l="1"/>
  <c r="S83" i="2"/>
  <c r="BI10" i="2"/>
  <c r="BJ10" i="2" s="1"/>
  <c r="BK10" i="2" s="1"/>
  <c r="BH10" i="2"/>
  <c r="BM10" i="2" s="1"/>
  <c r="BF11" i="2"/>
  <c r="BE11" i="2"/>
  <c r="BG11" i="2"/>
  <c r="BD12" i="2"/>
  <c r="BC14" i="2"/>
  <c r="R94" i="2"/>
  <c r="S93" i="2"/>
  <c r="R69" i="2"/>
  <c r="Q70" i="2"/>
  <c r="V67" i="2"/>
  <c r="W67" i="2"/>
  <c r="X67" i="2" s="1"/>
  <c r="Y67" i="2" s="1"/>
  <c r="U68" i="2"/>
  <c r="S68" i="2"/>
  <c r="R70" i="2" l="1"/>
  <c r="Q71" i="2"/>
  <c r="BD13" i="2"/>
  <c r="BC15" i="2"/>
  <c r="R95" i="2"/>
  <c r="S94" i="2"/>
  <c r="BH11" i="2"/>
  <c r="BM11" i="2" s="1"/>
  <c r="BI11" i="2"/>
  <c r="BJ11" i="2" s="1"/>
  <c r="BK11" i="2" s="1"/>
  <c r="S82" i="2"/>
  <c r="R81" i="2"/>
  <c r="V68" i="2"/>
  <c r="W68" i="2"/>
  <c r="X68" i="2" s="1"/>
  <c r="Y68" i="2" s="1"/>
  <c r="S69" i="2"/>
  <c r="U69" i="2"/>
  <c r="BF12" i="2"/>
  <c r="BE12" i="2"/>
  <c r="BG12" i="2"/>
  <c r="V69" i="2" l="1"/>
  <c r="W69" i="2"/>
  <c r="X69" i="2" s="1"/>
  <c r="Y69" i="2" s="1"/>
  <c r="BE13" i="2"/>
  <c r="BG13" i="2"/>
  <c r="BF13" i="2"/>
  <c r="BI12" i="2"/>
  <c r="BJ12" i="2" s="1"/>
  <c r="BK12" i="2" s="1"/>
  <c r="BH12" i="2"/>
  <c r="BM12" i="2" s="1"/>
  <c r="S95" i="2"/>
  <c r="R96" i="2"/>
  <c r="S70" i="2"/>
  <c r="U70" i="2"/>
  <c r="S81" i="2"/>
  <c r="R80" i="2"/>
  <c r="R71" i="2"/>
  <c r="Q72" i="2"/>
  <c r="BD14" i="2"/>
  <c r="BC16" i="2"/>
  <c r="S71" i="2" l="1"/>
  <c r="U71" i="2"/>
  <c r="Q73" i="2"/>
  <c r="R72" i="2"/>
  <c r="BD15" i="2"/>
  <c r="BC17" i="2"/>
  <c r="R79" i="2"/>
  <c r="S80" i="2"/>
  <c r="S96" i="2"/>
  <c r="R97" i="2"/>
  <c r="V70" i="2"/>
  <c r="W70" i="2"/>
  <c r="X70" i="2" s="1"/>
  <c r="Y70" i="2" s="1"/>
  <c r="BF14" i="2"/>
  <c r="BE14" i="2"/>
  <c r="BG14" i="2"/>
  <c r="BI13" i="2"/>
  <c r="BJ13" i="2" s="1"/>
  <c r="BK13" i="2" s="1"/>
  <c r="BH13" i="2"/>
  <c r="BM13" i="2" s="1"/>
  <c r="S97" i="2" l="1"/>
  <c r="R98" i="2"/>
  <c r="W71" i="2"/>
  <c r="X71" i="2" s="1"/>
  <c r="Y71" i="2" s="1"/>
  <c r="V71" i="2"/>
  <c r="BF15" i="2"/>
  <c r="BE15" i="2"/>
  <c r="BG15" i="2"/>
  <c r="BD16" i="2"/>
  <c r="BC18" i="2"/>
  <c r="BI14" i="2"/>
  <c r="BJ14" i="2" s="1"/>
  <c r="BK14" i="2" s="1"/>
  <c r="BH14" i="2"/>
  <c r="BM14" i="2" s="1"/>
  <c r="S79" i="2"/>
  <c r="R78" i="2"/>
  <c r="R73" i="2"/>
  <c r="Q74" i="2"/>
  <c r="R74" i="2" s="1"/>
  <c r="U72" i="2"/>
  <c r="S72" i="2"/>
  <c r="BI15" i="2" l="1"/>
  <c r="BJ15" i="2" s="1"/>
  <c r="BK15" i="2" s="1"/>
  <c r="BH15" i="2"/>
  <c r="BM15" i="2" s="1"/>
  <c r="R77" i="2"/>
  <c r="S77" i="2" s="1"/>
  <c r="S78" i="2"/>
  <c r="BD17" i="2"/>
  <c r="BC19" i="2"/>
  <c r="S73" i="2"/>
  <c r="U73" i="2"/>
  <c r="S98" i="2"/>
  <c r="R99" i="2"/>
  <c r="S99" i="2" s="1"/>
  <c r="U74" i="2"/>
  <c r="S74" i="2"/>
  <c r="V72" i="2"/>
  <c r="W72" i="2"/>
  <c r="X72" i="2" s="1"/>
  <c r="Y72" i="2" s="1"/>
  <c r="BE16" i="2"/>
  <c r="BG16" i="2"/>
  <c r="BF16" i="2"/>
  <c r="BD18" i="2" l="1"/>
  <c r="BC20" i="2"/>
  <c r="BH16" i="2"/>
  <c r="BM16" i="2" s="1"/>
  <c r="BI16" i="2"/>
  <c r="BJ16" i="2" s="1"/>
  <c r="BK16" i="2" s="1"/>
  <c r="BF17" i="2"/>
  <c r="BG17" i="2"/>
  <c r="BE17" i="2"/>
  <c r="V74" i="2"/>
  <c r="W74" i="2"/>
  <c r="X74" i="2" s="1"/>
  <c r="Y74" i="2" s="1"/>
  <c r="V73" i="2"/>
  <c r="W73" i="2"/>
  <c r="X73" i="2" s="1"/>
  <c r="Y73" i="2" s="1"/>
  <c r="W77" i="2" l="1"/>
  <c r="W78" i="2" s="1"/>
  <c r="W79" i="2" s="1"/>
  <c r="W80" i="2" s="1"/>
  <c r="BI17" i="2"/>
  <c r="BJ17" i="2" s="1"/>
  <c r="BK17" i="2" s="1"/>
  <c r="BH17" i="2"/>
  <c r="BM17" i="2" s="1"/>
  <c r="BF18" i="2"/>
  <c r="BE18" i="2"/>
  <c r="BG18" i="2"/>
  <c r="BD19" i="2"/>
  <c r="BC21" i="2"/>
  <c r="BI18" i="2" l="1"/>
  <c r="BJ18" i="2" s="1"/>
  <c r="BK18" i="2" s="1"/>
  <c r="BH18" i="2"/>
  <c r="BM18" i="2" s="1"/>
  <c r="BF19" i="2"/>
  <c r="BE19" i="2"/>
  <c r="BG19" i="2"/>
  <c r="BD20" i="2"/>
  <c r="BC22" i="2"/>
  <c r="BI19" i="2" l="1"/>
  <c r="BJ19" i="2" s="1"/>
  <c r="BK19" i="2" s="1"/>
  <c r="BH19" i="2"/>
  <c r="BM19" i="2" s="1"/>
  <c r="BF20" i="2"/>
  <c r="BG20" i="2"/>
  <c r="BE20" i="2"/>
  <c r="BC23" i="2"/>
  <c r="BD21" i="2"/>
  <c r="BD22" i="2" l="1"/>
  <c r="BC24" i="2"/>
  <c r="BF21" i="2"/>
  <c r="BE21" i="2"/>
  <c r="BG21" i="2"/>
  <c r="BH20" i="2"/>
  <c r="BM20" i="2" s="1"/>
  <c r="BI20" i="2"/>
  <c r="BJ20" i="2" s="1"/>
  <c r="BK20" i="2" s="1"/>
  <c r="BH21" i="2" l="1"/>
  <c r="BM21" i="2" s="1"/>
  <c r="BI21" i="2"/>
  <c r="BJ21" i="2" s="1"/>
  <c r="BK21" i="2" s="1"/>
  <c r="BF22" i="2"/>
  <c r="BE22" i="2"/>
  <c r="BG22" i="2"/>
  <c r="BD23" i="2"/>
  <c r="BC25" i="2"/>
  <c r="BF23" i="2" l="1"/>
  <c r="BE23" i="2"/>
  <c r="BG23" i="2"/>
  <c r="BH22" i="2"/>
  <c r="BM22" i="2" s="1"/>
  <c r="BI22" i="2"/>
  <c r="BJ22" i="2" s="1"/>
  <c r="BK22" i="2" s="1"/>
  <c r="BD24" i="2"/>
  <c r="BC26" i="2"/>
  <c r="BE24" i="2" l="1"/>
  <c r="BG24" i="2"/>
  <c r="BF24" i="2"/>
  <c r="BC27" i="2"/>
  <c r="BD25" i="2"/>
  <c r="BI23" i="2"/>
  <c r="BJ23" i="2" s="1"/>
  <c r="BK23" i="2" s="1"/>
  <c r="BH23" i="2"/>
  <c r="BM23" i="2" s="1"/>
  <c r="BF25" i="2" l="1"/>
  <c r="BE25" i="2"/>
  <c r="BG25" i="2"/>
  <c r="BH24" i="2"/>
  <c r="BM24" i="2" s="1"/>
  <c r="BI24" i="2"/>
  <c r="BJ24" i="2" s="1"/>
  <c r="BK24" i="2" s="1"/>
  <c r="BD26" i="2"/>
  <c r="BC28" i="2"/>
  <c r="BE26" i="2" l="1"/>
  <c r="BG26" i="2"/>
  <c r="BF26" i="2"/>
  <c r="BD27" i="2"/>
  <c r="BC29" i="2"/>
  <c r="BI25" i="2"/>
  <c r="BJ25" i="2" s="1"/>
  <c r="BK25" i="2" s="1"/>
  <c r="BH25" i="2"/>
  <c r="BM25" i="2" s="1"/>
  <c r="BD28" i="2" l="1"/>
  <c r="BC30" i="2"/>
  <c r="BI26" i="2"/>
  <c r="BJ26" i="2" s="1"/>
  <c r="BK26" i="2" s="1"/>
  <c r="BH26" i="2"/>
  <c r="BM26" i="2" s="1"/>
  <c r="BF27" i="2"/>
  <c r="BE27" i="2"/>
  <c r="BG27" i="2"/>
  <c r="BC31" i="2" l="1"/>
  <c r="BD29" i="2"/>
  <c r="BE28" i="2"/>
  <c r="BG28" i="2"/>
  <c r="BF28" i="2"/>
  <c r="BH27" i="2"/>
  <c r="BM27" i="2" s="1"/>
  <c r="BI27" i="2"/>
  <c r="BJ27" i="2" s="1"/>
  <c r="BK27" i="2" s="1"/>
  <c r="BD30" i="2" l="1"/>
  <c r="BC32" i="2"/>
  <c r="BE29" i="2"/>
  <c r="BG29" i="2"/>
  <c r="BF29" i="2"/>
  <c r="BI28" i="2"/>
  <c r="BJ28" i="2" s="1"/>
  <c r="BK28" i="2" s="1"/>
  <c r="BH28" i="2"/>
  <c r="BM28" i="2" s="1"/>
  <c r="BE30" i="2" l="1"/>
  <c r="BG30" i="2"/>
  <c r="BF30" i="2"/>
  <c r="BD31" i="2"/>
  <c r="BC33" i="2"/>
  <c r="BI29" i="2"/>
  <c r="BJ29" i="2" s="1"/>
  <c r="BK29" i="2" s="1"/>
  <c r="BH29" i="2"/>
  <c r="BM29" i="2" s="1"/>
  <c r="BD32" i="2" l="1"/>
  <c r="BC34" i="2"/>
  <c r="BI30" i="2"/>
  <c r="BJ30" i="2" s="1"/>
  <c r="BK30" i="2" s="1"/>
  <c r="BH30" i="2"/>
  <c r="BM30" i="2" s="1"/>
  <c r="BE31" i="2"/>
  <c r="BG31" i="2"/>
  <c r="BF31" i="2"/>
  <c r="BF32" i="2" l="1"/>
  <c r="BE32" i="2"/>
  <c r="BG32" i="2"/>
  <c r="BH31" i="2"/>
  <c r="BM31" i="2" s="1"/>
  <c r="BI31" i="2"/>
  <c r="BJ31" i="2" s="1"/>
  <c r="BK31" i="2" s="1"/>
  <c r="BD33" i="2"/>
  <c r="BC35" i="2"/>
  <c r="BE33" i="2" l="1"/>
  <c r="BF33" i="2"/>
  <c r="BG33" i="2"/>
  <c r="BC36" i="2"/>
  <c r="BD34" i="2"/>
  <c r="BH32" i="2"/>
  <c r="BM32" i="2" s="1"/>
  <c r="BI32" i="2"/>
  <c r="BJ32" i="2" s="1"/>
  <c r="BK32" i="2" s="1"/>
  <c r="BF34" i="2" l="1"/>
  <c r="BE34" i="2"/>
  <c r="BG34" i="2"/>
  <c r="BH33" i="2"/>
  <c r="BM33" i="2" s="1"/>
  <c r="BI33" i="2"/>
  <c r="BJ33" i="2" s="1"/>
  <c r="BK33" i="2" s="1"/>
  <c r="BD35" i="2"/>
  <c r="BC37" i="2"/>
  <c r="BE35" i="2" l="1"/>
  <c r="BF35" i="2"/>
  <c r="BG35" i="2"/>
  <c r="BD36" i="2"/>
  <c r="BC38" i="2"/>
  <c r="BI34" i="2"/>
  <c r="BJ34" i="2" s="1"/>
  <c r="BK34" i="2" s="1"/>
  <c r="BH34" i="2"/>
  <c r="BM34" i="2" s="1"/>
  <c r="BD37" i="2" l="1"/>
  <c r="BC39" i="2"/>
  <c r="BH35" i="2"/>
  <c r="BM35" i="2" s="1"/>
  <c r="BI35" i="2"/>
  <c r="BJ35" i="2" s="1"/>
  <c r="BK35" i="2" s="1"/>
  <c r="BG36" i="2"/>
  <c r="BE36" i="2"/>
  <c r="BF36" i="2"/>
  <c r="BE37" i="2" l="1"/>
  <c r="BF37" i="2"/>
  <c r="BG37" i="2"/>
  <c r="BH36" i="2"/>
  <c r="BM36" i="2" s="1"/>
  <c r="BI36" i="2"/>
  <c r="BJ36" i="2" s="1"/>
  <c r="BK36" i="2" s="1"/>
  <c r="BD38" i="2"/>
  <c r="BC40" i="2"/>
  <c r="BE38" i="2" l="1"/>
  <c r="BG38" i="2"/>
  <c r="BF38" i="2"/>
  <c r="BD39" i="2"/>
  <c r="BC41" i="2"/>
  <c r="BI37" i="2"/>
  <c r="BJ37" i="2" s="1"/>
  <c r="BK37" i="2" s="1"/>
  <c r="BH37" i="2"/>
  <c r="BM37" i="2" s="1"/>
  <c r="BD40" i="2" l="1"/>
  <c r="BC42" i="2"/>
  <c r="BH38" i="2"/>
  <c r="BM38" i="2" s="1"/>
  <c r="BI38" i="2"/>
  <c r="BJ38" i="2" s="1"/>
  <c r="BK38" i="2" s="1"/>
  <c r="BF39" i="2"/>
  <c r="BE39" i="2"/>
  <c r="BG39" i="2"/>
  <c r="BC43" i="2" l="1"/>
  <c r="BD41" i="2"/>
  <c r="BE40" i="2"/>
  <c r="BG40" i="2"/>
  <c r="BF40" i="2"/>
  <c r="BH39" i="2"/>
  <c r="BM39" i="2" s="1"/>
  <c r="BI39" i="2"/>
  <c r="BJ39" i="2" s="1"/>
  <c r="BK39" i="2" s="1"/>
  <c r="BD42" i="2" l="1"/>
  <c r="BC44" i="2"/>
  <c r="BE41" i="2"/>
  <c r="BF41" i="2"/>
  <c r="BG41" i="2"/>
  <c r="BH40" i="2"/>
  <c r="BM40" i="2" s="1"/>
  <c r="BI40" i="2"/>
  <c r="BJ40" i="2" s="1"/>
  <c r="BK40" i="2" s="1"/>
  <c r="BI41" i="2" l="1"/>
  <c r="BJ41" i="2" s="1"/>
  <c r="BK41" i="2" s="1"/>
  <c r="BH41" i="2"/>
  <c r="BM41" i="2" s="1"/>
  <c r="BG42" i="2"/>
  <c r="BE42" i="2"/>
  <c r="BF42" i="2"/>
  <c r="BD43" i="2"/>
  <c r="BC45" i="2"/>
  <c r="BE43" i="2" l="1"/>
  <c r="BF43" i="2"/>
  <c r="BG43" i="2"/>
  <c r="BC46" i="2"/>
  <c r="BD44" i="2"/>
  <c r="BI42" i="2"/>
  <c r="BJ42" i="2" s="1"/>
  <c r="BK42" i="2" s="1"/>
  <c r="BH42" i="2"/>
  <c r="BM42" i="2" s="1"/>
  <c r="BF44" i="2" l="1"/>
  <c r="BE44" i="2"/>
  <c r="BG44" i="2"/>
  <c r="BH43" i="2"/>
  <c r="BM43" i="2" s="1"/>
  <c r="BI43" i="2"/>
  <c r="BJ43" i="2" s="1"/>
  <c r="BK43" i="2" s="1"/>
  <c r="BC47" i="2"/>
  <c r="BD45" i="2"/>
  <c r="BD46" i="2" l="1"/>
  <c r="BC48" i="2"/>
  <c r="BF45" i="2"/>
  <c r="BE45" i="2"/>
  <c r="BG45" i="2"/>
  <c r="BH44" i="2"/>
  <c r="BM44" i="2" s="1"/>
  <c r="BI44" i="2"/>
  <c r="BJ44" i="2" s="1"/>
  <c r="BK44" i="2" s="1"/>
  <c r="BH45" i="2" l="1"/>
  <c r="BM45" i="2" s="1"/>
  <c r="BI45" i="2"/>
  <c r="BJ45" i="2" s="1"/>
  <c r="BK45" i="2" s="1"/>
  <c r="BE46" i="2"/>
  <c r="BG46" i="2"/>
  <c r="BF46" i="2"/>
  <c r="BD47" i="2"/>
  <c r="BC49" i="2"/>
  <c r="BG47" i="2" l="1"/>
  <c r="BF47" i="2"/>
  <c r="BE47" i="2"/>
  <c r="BD48" i="2"/>
  <c r="BC50" i="2"/>
  <c r="BH46" i="2"/>
  <c r="BM46" i="2" s="1"/>
  <c r="BI46" i="2"/>
  <c r="BJ46" i="2" s="1"/>
  <c r="BK46" i="2" s="1"/>
  <c r="BH47" i="2" l="1"/>
  <c r="BM47" i="2" s="1"/>
  <c r="BI47" i="2"/>
  <c r="BJ47" i="2" s="1"/>
  <c r="BK47" i="2" s="1"/>
  <c r="BD49" i="2"/>
  <c r="BC51" i="2"/>
  <c r="BF48" i="2"/>
  <c r="BE48" i="2"/>
  <c r="BG48" i="2"/>
  <c r="BH48" i="2" l="1"/>
  <c r="BM48" i="2" s="1"/>
  <c r="BI48" i="2"/>
  <c r="BJ48" i="2" s="1"/>
  <c r="BK48" i="2" s="1"/>
  <c r="BF49" i="2"/>
  <c r="BE49" i="2"/>
  <c r="BG49" i="2"/>
  <c r="BD50" i="2"/>
  <c r="BC52" i="2"/>
  <c r="BH49" i="2" l="1"/>
  <c r="BM49" i="2" s="1"/>
  <c r="BI49" i="2"/>
  <c r="BJ49" i="2" s="1"/>
  <c r="BK49" i="2" s="1"/>
  <c r="BE50" i="2"/>
  <c r="BF50" i="2"/>
  <c r="BG50" i="2"/>
  <c r="BD51" i="2"/>
  <c r="BC53" i="2"/>
  <c r="BG51" i="2" l="1"/>
  <c r="BE51" i="2"/>
  <c r="BF51" i="2"/>
  <c r="BH50" i="2"/>
  <c r="BM50" i="2" s="1"/>
  <c r="BI50" i="2"/>
  <c r="BJ50" i="2" s="1"/>
  <c r="BK50" i="2" s="1"/>
  <c r="BD52" i="2"/>
  <c r="BC54" i="2"/>
  <c r="BC55" i="2" l="1"/>
  <c r="BD53" i="2"/>
  <c r="BH51" i="2"/>
  <c r="BM51" i="2" s="1"/>
  <c r="BI51" i="2"/>
  <c r="BJ51" i="2" s="1"/>
  <c r="BK51" i="2" s="1"/>
  <c r="BE52" i="2"/>
  <c r="BG52" i="2"/>
  <c r="BF52" i="2"/>
  <c r="BD54" i="2" l="1"/>
  <c r="BC56" i="2"/>
  <c r="BF53" i="2"/>
  <c r="BE53" i="2"/>
  <c r="BG53" i="2"/>
  <c r="BH52" i="2"/>
  <c r="BM52" i="2" s="1"/>
  <c r="BI52" i="2"/>
  <c r="BJ52" i="2" s="1"/>
  <c r="BK52" i="2" s="1"/>
  <c r="BH53" i="2" l="1"/>
  <c r="BM53" i="2" s="1"/>
  <c r="BI53" i="2"/>
  <c r="BJ53" i="2" s="1"/>
  <c r="BK53" i="2" s="1"/>
  <c r="BE54" i="2"/>
  <c r="BG54" i="2"/>
  <c r="BF54" i="2"/>
  <c r="BD55" i="2"/>
  <c r="BC57" i="2"/>
  <c r="BF55" i="2" l="1"/>
  <c r="BE55" i="2"/>
  <c r="BG55" i="2"/>
  <c r="BD56" i="2"/>
  <c r="BC58" i="2"/>
  <c r="BI54" i="2"/>
  <c r="BJ54" i="2" s="1"/>
  <c r="BK54" i="2" s="1"/>
  <c r="BH54" i="2"/>
  <c r="BM54" i="2" s="1"/>
  <c r="BD57" i="2" l="1"/>
  <c r="BC59" i="2"/>
  <c r="BH55" i="2"/>
  <c r="BM55" i="2" s="1"/>
  <c r="BI55" i="2"/>
  <c r="BJ55" i="2" s="1"/>
  <c r="BK55" i="2" s="1"/>
  <c r="BE56" i="2"/>
  <c r="BF56" i="2"/>
  <c r="BG56" i="2"/>
  <c r="BC60" i="2" l="1"/>
  <c r="BD58" i="2"/>
  <c r="BF57" i="2"/>
  <c r="BG57" i="2"/>
  <c r="BE57" i="2"/>
  <c r="BI56" i="2"/>
  <c r="BJ56" i="2" s="1"/>
  <c r="BK56" i="2" s="1"/>
  <c r="BH56" i="2"/>
  <c r="BM56" i="2" s="1"/>
  <c r="BE58" i="2" l="1"/>
  <c r="BF58" i="2"/>
  <c r="BG58" i="2"/>
  <c r="BD59" i="2"/>
  <c r="BC61" i="2"/>
  <c r="BI57" i="2"/>
  <c r="BJ57" i="2" s="1"/>
  <c r="BK57" i="2" s="1"/>
  <c r="BH57" i="2"/>
  <c r="BM57" i="2" s="1"/>
  <c r="BC62" i="2" l="1"/>
  <c r="BD60" i="2"/>
  <c r="BI58" i="2"/>
  <c r="BJ58" i="2" s="1"/>
  <c r="BK58" i="2" s="1"/>
  <c r="BH58" i="2"/>
  <c r="BM58" i="2" s="1"/>
  <c r="BF59" i="2"/>
  <c r="BE59" i="2"/>
  <c r="BG59" i="2"/>
  <c r="BC63" i="2" l="1"/>
  <c r="BD61" i="2"/>
  <c r="BE60" i="2"/>
  <c r="BF60" i="2"/>
  <c r="BG60" i="2"/>
  <c r="BI59" i="2"/>
  <c r="BJ59" i="2" s="1"/>
  <c r="BK59" i="2" s="1"/>
  <c r="BH59" i="2"/>
  <c r="BM59" i="2" s="1"/>
  <c r="BD62" i="2" l="1"/>
  <c r="BC64" i="2"/>
  <c r="BI60" i="2"/>
  <c r="BJ60" i="2" s="1"/>
  <c r="BK60" i="2" s="1"/>
  <c r="BH60" i="2"/>
  <c r="BM60" i="2" s="1"/>
  <c r="BE61" i="2"/>
  <c r="BF61" i="2"/>
  <c r="BG61" i="2"/>
  <c r="BE62" i="2" l="1"/>
  <c r="BF62" i="2"/>
  <c r="BG62" i="2"/>
  <c r="BD63" i="2"/>
  <c r="BC65" i="2"/>
  <c r="BI61" i="2"/>
  <c r="BJ61" i="2" s="1"/>
  <c r="BK61" i="2" s="1"/>
  <c r="BH61" i="2"/>
  <c r="BM61" i="2" s="1"/>
  <c r="BD64" i="2" l="1"/>
  <c r="BC66" i="2"/>
  <c r="BI62" i="2"/>
  <c r="BJ62" i="2" s="1"/>
  <c r="BK62" i="2" s="1"/>
  <c r="BH62" i="2"/>
  <c r="BM62" i="2" s="1"/>
  <c r="BF63" i="2"/>
  <c r="BE63" i="2"/>
  <c r="BG63" i="2"/>
  <c r="BD65" i="2" l="1"/>
  <c r="BC67" i="2"/>
  <c r="BE64" i="2"/>
  <c r="BF64" i="2"/>
  <c r="BG64" i="2"/>
  <c r="BH63" i="2"/>
  <c r="BM63" i="2" s="1"/>
  <c r="BI63" i="2"/>
  <c r="BJ63" i="2" s="1"/>
  <c r="BK63" i="2" s="1"/>
  <c r="BI64" i="2" l="1"/>
  <c r="BJ64" i="2" s="1"/>
  <c r="BK64" i="2" s="1"/>
  <c r="BH64" i="2"/>
  <c r="BM64" i="2" s="1"/>
  <c r="BF65" i="2"/>
  <c r="BE65" i="2"/>
  <c r="BG65" i="2"/>
  <c r="BD66" i="2"/>
  <c r="BC68" i="2"/>
  <c r="BH65" i="2" l="1"/>
  <c r="BM65" i="2" s="1"/>
  <c r="BI65" i="2"/>
  <c r="BJ65" i="2" s="1"/>
  <c r="BK65" i="2" s="1"/>
  <c r="BE66" i="2"/>
  <c r="BF66" i="2"/>
  <c r="BG66" i="2"/>
  <c r="BD67" i="2"/>
  <c r="BC69" i="2"/>
  <c r="BI66" i="2" l="1"/>
  <c r="BJ66" i="2" s="1"/>
  <c r="BK66" i="2" s="1"/>
  <c r="BH66" i="2"/>
  <c r="BM66" i="2" s="1"/>
  <c r="BF67" i="2"/>
  <c r="BE67" i="2"/>
  <c r="BG67" i="2"/>
  <c r="BD68" i="2"/>
  <c r="BC70" i="2"/>
  <c r="BI67" i="2" l="1"/>
  <c r="BJ67" i="2" s="1"/>
  <c r="BK67" i="2" s="1"/>
  <c r="BH67" i="2"/>
  <c r="BM67" i="2" s="1"/>
  <c r="BE68" i="2"/>
  <c r="BF68" i="2"/>
  <c r="BG68" i="2"/>
  <c r="BC71" i="2"/>
  <c r="BD69" i="2"/>
  <c r="BH68" i="2" l="1"/>
  <c r="BM68" i="2" s="1"/>
  <c r="BI68" i="2"/>
  <c r="BJ68" i="2" s="1"/>
  <c r="BK68" i="2" s="1"/>
  <c r="BC72" i="2"/>
  <c r="BD70" i="2"/>
  <c r="BF69" i="2"/>
  <c r="BE69" i="2"/>
  <c r="BG69" i="2"/>
  <c r="BH69" i="2" l="1"/>
  <c r="BM69" i="2" s="1"/>
  <c r="BI69" i="2"/>
  <c r="BJ69" i="2" s="1"/>
  <c r="BK69" i="2" s="1"/>
  <c r="BD71" i="2"/>
  <c r="BC73" i="2"/>
  <c r="BG70" i="2"/>
  <c r="BF70" i="2"/>
  <c r="BE70" i="2"/>
  <c r="BH70" i="2" l="1"/>
  <c r="BM70" i="2" s="1"/>
  <c r="BI70" i="2"/>
  <c r="BJ70" i="2" s="1"/>
  <c r="BK70" i="2" s="1"/>
  <c r="BE71" i="2"/>
  <c r="BG71" i="2"/>
  <c r="BF71" i="2"/>
  <c r="BC74" i="2"/>
  <c r="BD72" i="2"/>
  <c r="BD73" i="2" l="1"/>
  <c r="BC75" i="2"/>
  <c r="BE72" i="2"/>
  <c r="BF72" i="2"/>
  <c r="BG72" i="2"/>
  <c r="BH71" i="2"/>
  <c r="BM71" i="2" s="1"/>
  <c r="BI71" i="2"/>
  <c r="BJ71" i="2" s="1"/>
  <c r="BK71" i="2" s="1"/>
  <c r="BI72" i="2" l="1"/>
  <c r="BJ72" i="2" s="1"/>
  <c r="BK72" i="2" s="1"/>
  <c r="BH72" i="2"/>
  <c r="BM72" i="2" s="1"/>
  <c r="BF73" i="2"/>
  <c r="BG73" i="2"/>
  <c r="BE73" i="2"/>
  <c r="BD74" i="2"/>
  <c r="BC76" i="2"/>
  <c r="BE74" i="2" l="1"/>
  <c r="BF74" i="2"/>
  <c r="BG74" i="2"/>
  <c r="BD75" i="2"/>
  <c r="BC77" i="2"/>
  <c r="BH73" i="2"/>
  <c r="BM73" i="2" s="1"/>
  <c r="BI73" i="2"/>
  <c r="BJ73" i="2" s="1"/>
  <c r="BK73" i="2" s="1"/>
  <c r="BD76" i="2" l="1"/>
  <c r="BC78" i="2"/>
  <c r="BI74" i="2"/>
  <c r="BJ74" i="2" s="1"/>
  <c r="BK74" i="2" s="1"/>
  <c r="BH74" i="2"/>
  <c r="BM74" i="2" s="1"/>
  <c r="BF75" i="2"/>
  <c r="BG75" i="2"/>
  <c r="BE75" i="2"/>
  <c r="BF76" i="2" l="1"/>
  <c r="BG76" i="2"/>
  <c r="BE76" i="2"/>
  <c r="BH75" i="2"/>
  <c r="BM75" i="2" s="1"/>
  <c r="BI75" i="2"/>
  <c r="BJ75" i="2" s="1"/>
  <c r="BK75" i="2" s="1"/>
  <c r="BC79" i="2"/>
  <c r="BD77" i="2"/>
  <c r="BD78" i="2" l="1"/>
  <c r="BC80" i="2"/>
  <c r="BH76" i="2"/>
  <c r="BM76" i="2" s="1"/>
  <c r="BI76" i="2"/>
  <c r="BJ76" i="2" s="1"/>
  <c r="BK76" i="2" s="1"/>
  <c r="BE77" i="2"/>
  <c r="BF77" i="2"/>
  <c r="BG77" i="2"/>
  <c r="BD79" i="2" l="1"/>
  <c r="BC81" i="2"/>
  <c r="BE78" i="2"/>
  <c r="BF78" i="2"/>
  <c r="BG78" i="2"/>
  <c r="BI77" i="2"/>
  <c r="BJ77" i="2" s="1"/>
  <c r="BK77" i="2" s="1"/>
  <c r="BH77" i="2"/>
  <c r="BM77" i="2" s="1"/>
  <c r="BH78" i="2" l="1"/>
  <c r="BM78" i="2" s="1"/>
  <c r="BI78" i="2"/>
  <c r="BJ78" i="2" s="1"/>
  <c r="BK78" i="2" s="1"/>
  <c r="BF79" i="2"/>
  <c r="BE79" i="2"/>
  <c r="BG79" i="2"/>
  <c r="BD80" i="2"/>
  <c r="BC82" i="2"/>
  <c r="BI79" i="2" l="1"/>
  <c r="BJ79" i="2" s="1"/>
  <c r="BK79" i="2" s="1"/>
  <c r="BH79" i="2"/>
  <c r="BM79" i="2" s="1"/>
  <c r="BE80" i="2"/>
  <c r="BF80" i="2"/>
  <c r="BG80" i="2"/>
  <c r="BD81" i="2"/>
  <c r="BC83" i="2"/>
  <c r="BH80" i="2" l="1"/>
  <c r="BM80" i="2" s="1"/>
  <c r="BI80" i="2"/>
  <c r="BJ80" i="2" s="1"/>
  <c r="BK80" i="2" s="1"/>
  <c r="BF81" i="2"/>
  <c r="BG81" i="2"/>
  <c r="BE81" i="2"/>
  <c r="BD82" i="2"/>
  <c r="BC84" i="2"/>
  <c r="BE82" i="2" l="1"/>
  <c r="BF82" i="2"/>
  <c r="BG82" i="2"/>
  <c r="BD83" i="2"/>
  <c r="BC85" i="2"/>
  <c r="BI81" i="2"/>
  <c r="BJ81" i="2" s="1"/>
  <c r="BK81" i="2" s="1"/>
  <c r="BH81" i="2"/>
  <c r="BM81" i="2" s="1"/>
  <c r="BC86" i="2" l="1"/>
  <c r="BD84" i="2"/>
  <c r="BH82" i="2"/>
  <c r="BM82" i="2" s="1"/>
  <c r="BI82" i="2"/>
  <c r="BJ82" i="2" s="1"/>
  <c r="BK82" i="2" s="1"/>
  <c r="BF83" i="2"/>
  <c r="BE83" i="2"/>
  <c r="BG83" i="2"/>
  <c r="BE84" i="2" l="1"/>
  <c r="BF84" i="2"/>
  <c r="BG84" i="2"/>
  <c r="BD85" i="2"/>
  <c r="BC87" i="2"/>
  <c r="BI83" i="2"/>
  <c r="BJ83" i="2" s="1"/>
  <c r="BK83" i="2" s="1"/>
  <c r="BH83" i="2"/>
  <c r="BM83" i="2" s="1"/>
  <c r="BD86" i="2" l="1"/>
  <c r="BC88" i="2"/>
  <c r="BH84" i="2"/>
  <c r="BM84" i="2" s="1"/>
  <c r="BI84" i="2"/>
  <c r="BJ84" i="2" s="1"/>
  <c r="BK84" i="2" s="1"/>
  <c r="BE85" i="2"/>
  <c r="BG85" i="2"/>
  <c r="BF85" i="2"/>
  <c r="BE86" i="2" l="1"/>
  <c r="BF86" i="2"/>
  <c r="BG86" i="2"/>
  <c r="BD87" i="2"/>
  <c r="BC89" i="2"/>
  <c r="BH85" i="2"/>
  <c r="BM85" i="2" s="1"/>
  <c r="BI85" i="2"/>
  <c r="BJ85" i="2" s="1"/>
  <c r="BK85" i="2" s="1"/>
  <c r="BD88" i="2" l="1"/>
  <c r="BC90" i="2"/>
  <c r="BI86" i="2"/>
  <c r="BJ86" i="2" s="1"/>
  <c r="BK86" i="2" s="1"/>
  <c r="BH86" i="2"/>
  <c r="BM86" i="2" s="1"/>
  <c r="BG87" i="2"/>
  <c r="BF87" i="2"/>
  <c r="BE87" i="2"/>
  <c r="BE88" i="2" l="1"/>
  <c r="BG88" i="2"/>
  <c r="BF88" i="2"/>
  <c r="BH87" i="2"/>
  <c r="BM87" i="2" s="1"/>
  <c r="BI87" i="2"/>
  <c r="BJ87" i="2" s="1"/>
  <c r="BK87" i="2" s="1"/>
  <c r="BD89" i="2"/>
  <c r="BC91" i="2"/>
  <c r="BE89" i="2" l="1"/>
  <c r="BF89" i="2"/>
  <c r="BG89" i="2"/>
  <c r="BI88" i="2"/>
  <c r="BJ88" i="2" s="1"/>
  <c r="BK88" i="2" s="1"/>
  <c r="BH88" i="2"/>
  <c r="BM88" i="2" s="1"/>
  <c r="BD90" i="2"/>
  <c r="BC92" i="2"/>
  <c r="BF90" i="2" l="1"/>
  <c r="BE90" i="2"/>
  <c r="BG90" i="2"/>
  <c r="BD91" i="2"/>
  <c r="BC93" i="2"/>
  <c r="BH89" i="2"/>
  <c r="BM89" i="2" s="1"/>
  <c r="BI89" i="2"/>
  <c r="BJ89" i="2" s="1"/>
  <c r="BK89" i="2" s="1"/>
  <c r="BC94" i="2" l="1"/>
  <c r="BD92" i="2"/>
  <c r="BH90" i="2"/>
  <c r="BM90" i="2" s="1"/>
  <c r="BI90" i="2"/>
  <c r="BJ90" i="2" s="1"/>
  <c r="BK90" i="2" s="1"/>
  <c r="BF91" i="2"/>
  <c r="BE91" i="2"/>
  <c r="BG91" i="2"/>
  <c r="BC95" i="2" l="1"/>
  <c r="BD93" i="2"/>
  <c r="BE92" i="2"/>
  <c r="BF92" i="2"/>
  <c r="BG92" i="2"/>
  <c r="BI91" i="2"/>
  <c r="BJ91" i="2" s="1"/>
  <c r="BK91" i="2" s="1"/>
  <c r="BH91" i="2"/>
  <c r="BM91" i="2" s="1"/>
  <c r="BI92" i="2" l="1"/>
  <c r="BJ92" i="2" s="1"/>
  <c r="BK92" i="2" s="1"/>
  <c r="BH92" i="2"/>
  <c r="BM92" i="2" s="1"/>
  <c r="BD94" i="2"/>
  <c r="BC96" i="2"/>
  <c r="BF93" i="2"/>
  <c r="BG93" i="2"/>
  <c r="BE93" i="2"/>
  <c r="BH93" i="2" l="1"/>
  <c r="BM93" i="2" s="1"/>
  <c r="BI93" i="2"/>
  <c r="BJ93" i="2" s="1"/>
  <c r="BK93" i="2" s="1"/>
  <c r="BF94" i="2"/>
  <c r="BG94" i="2"/>
  <c r="BE94" i="2"/>
  <c r="BD95" i="2"/>
  <c r="BC97" i="2"/>
  <c r="BF95" i="2" l="1"/>
  <c r="BE95" i="2"/>
  <c r="BG95" i="2"/>
  <c r="BD96" i="2"/>
  <c r="BC98" i="2"/>
  <c r="BI94" i="2"/>
  <c r="BJ94" i="2" s="1"/>
  <c r="BK94" i="2" s="1"/>
  <c r="BH94" i="2"/>
  <c r="BM94" i="2" s="1"/>
  <c r="BD97" i="2" l="1"/>
  <c r="BC99" i="2"/>
  <c r="BI95" i="2"/>
  <c r="BJ95" i="2" s="1"/>
  <c r="BK95" i="2" s="1"/>
  <c r="BH95" i="2"/>
  <c r="BM95" i="2" s="1"/>
  <c r="BF96" i="2"/>
  <c r="BG96" i="2"/>
  <c r="BE96" i="2"/>
  <c r="BE97" i="2" l="1"/>
  <c r="BF97" i="2"/>
  <c r="BG97" i="2"/>
  <c r="BI96" i="2"/>
  <c r="BJ96" i="2" s="1"/>
  <c r="BK96" i="2" s="1"/>
  <c r="BH96" i="2"/>
  <c r="BM96" i="2" s="1"/>
  <c r="BD98" i="2"/>
  <c r="BC100" i="2"/>
  <c r="BG98" i="2" l="1"/>
  <c r="BE98" i="2"/>
  <c r="BF98" i="2"/>
  <c r="BD99" i="2"/>
  <c r="BC101" i="2"/>
  <c r="BH97" i="2"/>
  <c r="BM97" i="2" s="1"/>
  <c r="BI97" i="2"/>
  <c r="BJ97" i="2" s="1"/>
  <c r="BK97" i="2" s="1"/>
  <c r="BH98" i="2" l="1"/>
  <c r="BM98" i="2" s="1"/>
  <c r="BI98" i="2"/>
  <c r="BJ98" i="2" s="1"/>
  <c r="BK98" i="2" s="1"/>
  <c r="BC102" i="2"/>
  <c r="BD100" i="2"/>
  <c r="BE99" i="2"/>
  <c r="BF99" i="2"/>
  <c r="BG99" i="2"/>
  <c r="BH99" i="2" l="1"/>
  <c r="BM99" i="2" s="1"/>
  <c r="BI99" i="2"/>
  <c r="BJ99" i="2" s="1"/>
  <c r="BK99" i="2" s="1"/>
  <c r="BC103" i="2"/>
  <c r="BD101" i="2"/>
  <c r="BF100" i="2"/>
  <c r="BE100" i="2"/>
  <c r="BG100" i="2"/>
  <c r="BI100" i="2" l="1"/>
  <c r="BJ100" i="2" s="1"/>
  <c r="BK100" i="2" s="1"/>
  <c r="BH100" i="2"/>
  <c r="BM100" i="2" s="1"/>
  <c r="BD102" i="2"/>
  <c r="BC104" i="2"/>
  <c r="BF101" i="2"/>
  <c r="BE101" i="2"/>
  <c r="BG101" i="2"/>
  <c r="BH101" i="2" l="1"/>
  <c r="BM101" i="2" s="1"/>
  <c r="BI101" i="2"/>
  <c r="BJ101" i="2" s="1"/>
  <c r="BK101" i="2" s="1"/>
  <c r="BE102" i="2"/>
  <c r="BF102" i="2"/>
  <c r="BG102" i="2"/>
  <c r="BD103" i="2"/>
  <c r="BC105" i="2"/>
  <c r="BH102" i="2" l="1"/>
  <c r="BM102" i="2" s="1"/>
  <c r="BI102" i="2"/>
  <c r="BJ102" i="2" s="1"/>
  <c r="BK102" i="2" s="1"/>
  <c r="BF103" i="2"/>
  <c r="BG103" i="2"/>
  <c r="BE103" i="2"/>
  <c r="BC106" i="2"/>
  <c r="BD104" i="2"/>
  <c r="BC107" i="2" l="1"/>
  <c r="BD105" i="2"/>
  <c r="BF104" i="2"/>
  <c r="BE104" i="2"/>
  <c r="BG104" i="2"/>
  <c r="BH103" i="2"/>
  <c r="BM103" i="2" s="1"/>
  <c r="BI103" i="2"/>
  <c r="BJ103" i="2" s="1"/>
  <c r="BK103" i="2" s="1"/>
  <c r="BD106" i="2" l="1"/>
  <c r="BF107" i="2"/>
  <c r="BE107" i="2"/>
  <c r="BI104" i="2"/>
  <c r="BJ104" i="2" s="1"/>
  <c r="BK104" i="2" s="1"/>
  <c r="BH104" i="2"/>
  <c r="BM104" i="2" s="1"/>
  <c r="BE105" i="2"/>
  <c r="BF105" i="2"/>
  <c r="BG105" i="2"/>
  <c r="BE106" i="2" l="1"/>
  <c r="BF106" i="2"/>
  <c r="BG106" i="2"/>
  <c r="BI105" i="2"/>
  <c r="BJ105" i="2" s="1"/>
  <c r="BK105" i="2" s="1"/>
  <c r="BH105" i="2"/>
  <c r="BM105" i="2" s="1"/>
  <c r="BH106" i="2" l="1"/>
  <c r="BM106" i="2" s="1"/>
  <c r="BI106" i="2"/>
  <c r="BJ106" i="2" s="1"/>
  <c r="BK106" i="2" s="1"/>
  <c r="BI107" i="2"/>
  <c r="BJ107" i="2" s="1"/>
  <c r="BK107" i="2" s="1"/>
</calcChain>
</file>

<file path=xl/sharedStrings.xml><?xml version="1.0" encoding="utf-8"?>
<sst xmlns="http://schemas.openxmlformats.org/spreadsheetml/2006/main" count="287" uniqueCount="191">
  <si>
    <t>Umfang der Stichprobe</t>
  </si>
  <si>
    <t>i</t>
  </si>
  <si>
    <t>xi</t>
  </si>
  <si>
    <t>Merkmal:</t>
  </si>
  <si>
    <t>Maßeinheit:</t>
  </si>
  <si>
    <t>Unterer Grenzwert UGW =</t>
  </si>
  <si>
    <t>Oberer Grenzwert OGW =</t>
  </si>
  <si>
    <t>Überschreitungsanteil p</t>
  </si>
  <si>
    <t>X Wert</t>
  </si>
  <si>
    <t>Y Wert</t>
  </si>
  <si>
    <t>Nummer</t>
  </si>
  <si>
    <t>Untere</t>
  </si>
  <si>
    <t>Obere</t>
  </si>
  <si>
    <t>Absolute</t>
  </si>
  <si>
    <t>Relative</t>
  </si>
  <si>
    <t>Häufig-</t>
  </si>
  <si>
    <t>der</t>
  </si>
  <si>
    <t>Klassen-</t>
  </si>
  <si>
    <t>Summen-</t>
  </si>
  <si>
    <t>keits-</t>
  </si>
  <si>
    <t>Klasse</t>
  </si>
  <si>
    <t>grenze</t>
  </si>
  <si>
    <t>mitte</t>
  </si>
  <si>
    <t>breite</t>
  </si>
  <si>
    <t>häufigkeit</t>
  </si>
  <si>
    <t>Häufigkeit</t>
  </si>
  <si>
    <t>dichte</t>
  </si>
  <si>
    <t>j</t>
  </si>
  <si>
    <t>h(x)</t>
  </si>
  <si>
    <t>Zähler</t>
  </si>
  <si>
    <t>www.sixsigmablackbelt.de</t>
  </si>
  <si>
    <t>grün: Berechnung</t>
  </si>
  <si>
    <t>blau: Eingabe</t>
  </si>
  <si>
    <t>Minimum</t>
  </si>
  <si>
    <t>Maximum</t>
  </si>
  <si>
    <t>Berechnete Leistung in ppm</t>
  </si>
  <si>
    <t>Beobachtete Leistung in ppm</t>
  </si>
  <si>
    <t>Beobachteter Überschr</t>
  </si>
  <si>
    <t>PUGW</t>
  </si>
  <si>
    <t>POGW</t>
  </si>
  <si>
    <t>Prozess- und Maschinenfähigkeit</t>
  </si>
  <si>
    <t>Stichprobe chronologisch</t>
  </si>
  <si>
    <t>Wahrscheinlichkeitsnetz</t>
  </si>
  <si>
    <t>x-quer+u∙s</t>
  </si>
  <si>
    <t>u</t>
  </si>
  <si>
    <t>Helfer</t>
  </si>
  <si>
    <t>Mittelwert</t>
  </si>
  <si>
    <t>OGW</t>
  </si>
  <si>
    <t>UGW</t>
  </si>
  <si>
    <t>Sollwert</t>
  </si>
  <si>
    <t>Ausgleichskurve</t>
  </si>
  <si>
    <t>Fehlerindikator</t>
  </si>
  <si>
    <t>Summe</t>
  </si>
  <si>
    <t>Artikel:</t>
  </si>
  <si>
    <t>Datum:</t>
  </si>
  <si>
    <t xml:space="preserve">Das Kennwort für die Aufhebung des Blattschutzes erhalten Sie kostenlos hier
</t>
  </si>
  <si>
    <t>Prüfer:</t>
  </si>
  <si>
    <t>Messmittel:</t>
  </si>
  <si>
    <t>Histogramm Normalverteilung</t>
  </si>
  <si>
    <t>Histogramm Messwerte</t>
  </si>
  <si>
    <t>wird berechnet und ist geschützt</t>
  </si>
  <si>
    <t>Werte können geändert werden</t>
  </si>
  <si>
    <r>
      <t xml:space="preserve">Sollwert </t>
    </r>
    <r>
      <rPr>
        <b/>
        <sz val="14"/>
        <rFont val="Symbol"/>
        <family val="1"/>
        <charset val="2"/>
      </rPr>
      <t>m</t>
    </r>
    <r>
      <rPr>
        <b/>
        <vertAlign val="subscript"/>
        <sz val="14"/>
        <rFont val="Arial"/>
        <family val="2"/>
      </rPr>
      <t>soll</t>
    </r>
    <r>
      <rPr>
        <b/>
        <sz val="14"/>
        <rFont val="Arial"/>
        <family val="2"/>
      </rPr>
      <t xml:space="preserve"> =</t>
    </r>
  </si>
  <si>
    <r>
      <t xml:space="preserve">Mittelwert </t>
    </r>
    <r>
      <rPr>
        <b/>
        <sz val="14"/>
        <rFont val="Symbol"/>
        <family val="1"/>
        <charset val="2"/>
      </rPr>
      <t>m</t>
    </r>
  </si>
  <si>
    <r>
      <t xml:space="preserve">Standardabweichung </t>
    </r>
    <r>
      <rPr>
        <b/>
        <sz val="14"/>
        <rFont val="Symbol"/>
        <family val="1"/>
        <charset val="2"/>
      </rPr>
      <t>s</t>
    </r>
  </si>
  <si>
    <r>
      <t xml:space="preserve">Median </t>
    </r>
    <r>
      <rPr>
        <b/>
        <sz val="14"/>
        <rFont val="Symbol"/>
        <family val="1"/>
        <charset val="2"/>
      </rPr>
      <t>z</t>
    </r>
  </si>
  <si>
    <r>
      <t xml:space="preserve">Spannweite </t>
    </r>
    <r>
      <rPr>
        <b/>
        <sz val="14"/>
        <rFont val="Symbol"/>
        <family val="1"/>
        <charset val="2"/>
      </rPr>
      <t>R</t>
    </r>
  </si>
  <si>
    <r>
      <t>Überschreitungsanteil p</t>
    </r>
    <r>
      <rPr>
        <b/>
        <vertAlign val="subscript"/>
        <sz val="14"/>
        <rFont val="Arial"/>
        <family val="2"/>
      </rPr>
      <t>UGW</t>
    </r>
  </si>
  <si>
    <r>
      <t>Überschreitungsanteil p</t>
    </r>
    <r>
      <rPr>
        <b/>
        <vertAlign val="subscript"/>
        <sz val="14"/>
        <rFont val="Arial"/>
        <family val="2"/>
      </rPr>
      <t>OGW</t>
    </r>
  </si>
  <si>
    <t>Zeichnung:</t>
  </si>
  <si>
    <t>Fähigkeitskennwerte</t>
  </si>
  <si>
    <r>
      <t>C</t>
    </r>
    <r>
      <rPr>
        <b/>
        <vertAlign val="subscript"/>
        <sz val="14"/>
        <rFont val="Arial"/>
        <family val="2"/>
      </rPr>
      <t>pu</t>
    </r>
  </si>
  <si>
    <r>
      <t>C</t>
    </r>
    <r>
      <rPr>
        <b/>
        <vertAlign val="subscript"/>
        <sz val="14"/>
        <rFont val="Arial"/>
        <family val="2"/>
      </rPr>
      <t>po</t>
    </r>
  </si>
  <si>
    <r>
      <t>C</t>
    </r>
    <r>
      <rPr>
        <b/>
        <vertAlign val="subscript"/>
        <sz val="14"/>
        <rFont val="Arial"/>
        <family val="2"/>
      </rPr>
      <t>p</t>
    </r>
  </si>
  <si>
    <r>
      <t>C</t>
    </r>
    <r>
      <rPr>
        <b/>
        <vertAlign val="subscript"/>
        <sz val="14"/>
        <rFont val="Arial"/>
        <family val="2"/>
      </rPr>
      <t>pk</t>
    </r>
  </si>
  <si>
    <t>A-Nummer</t>
  </si>
  <si>
    <r>
      <t>UKG</t>
    </r>
    <r>
      <rPr>
        <vertAlign val="subscript"/>
        <sz val="14"/>
        <rFont val="Arial"/>
        <family val="2"/>
      </rPr>
      <t>j</t>
    </r>
  </si>
  <si>
    <r>
      <t>OKG</t>
    </r>
    <r>
      <rPr>
        <vertAlign val="subscript"/>
        <sz val="14"/>
        <rFont val="Arial"/>
        <family val="2"/>
      </rPr>
      <t>j</t>
    </r>
  </si>
  <si>
    <r>
      <t>x</t>
    </r>
    <r>
      <rPr>
        <vertAlign val="subscript"/>
        <sz val="14"/>
        <rFont val="Arial"/>
        <family val="2"/>
      </rPr>
      <t>j</t>
    </r>
    <r>
      <rPr>
        <sz val="14"/>
        <rFont val="Arial"/>
        <family val="2"/>
      </rPr>
      <t>´</t>
    </r>
  </si>
  <si>
    <r>
      <t>w</t>
    </r>
    <r>
      <rPr>
        <vertAlign val="subscript"/>
        <sz val="14"/>
        <rFont val="Arial"/>
        <family val="2"/>
      </rPr>
      <t>j</t>
    </r>
  </si>
  <si>
    <r>
      <t>G(OKG</t>
    </r>
    <r>
      <rPr>
        <vertAlign val="subscript"/>
        <sz val="14"/>
        <rFont val="Arial"/>
        <family val="2"/>
      </rPr>
      <t>j</t>
    </r>
    <r>
      <rPr>
        <sz val="14"/>
        <rFont val="Arial"/>
        <family val="2"/>
      </rPr>
      <t>)</t>
    </r>
  </si>
  <si>
    <r>
      <t>H(OKG</t>
    </r>
    <r>
      <rPr>
        <vertAlign val="subscript"/>
        <sz val="14"/>
        <rFont val="Arial"/>
        <family val="2"/>
      </rPr>
      <t>j</t>
    </r>
    <r>
      <rPr>
        <sz val="14"/>
        <rFont val="Arial"/>
        <family val="2"/>
      </rPr>
      <t>)</t>
    </r>
  </si>
  <si>
    <r>
      <t>n</t>
    </r>
    <r>
      <rPr>
        <vertAlign val="subscript"/>
        <sz val="14"/>
        <rFont val="Arial"/>
        <family val="2"/>
      </rPr>
      <t>j</t>
    </r>
  </si>
  <si>
    <r>
      <t>h</t>
    </r>
    <r>
      <rPr>
        <vertAlign val="subscript"/>
        <sz val="14"/>
        <rFont val="Arial"/>
        <family val="2"/>
      </rPr>
      <t>j</t>
    </r>
  </si>
  <si>
    <t>3RdYJQy7rT</t>
  </si>
  <si>
    <t>Criteria / Drawing-Position</t>
  </si>
  <si>
    <r>
      <t>C</t>
    </r>
    <r>
      <rPr>
        <b/>
        <vertAlign val="subscript"/>
        <sz val="14"/>
        <rFont val="Arial"/>
        <family val="2"/>
      </rPr>
      <t>mu</t>
    </r>
  </si>
  <si>
    <r>
      <t>C</t>
    </r>
    <r>
      <rPr>
        <b/>
        <vertAlign val="subscript"/>
        <sz val="14"/>
        <rFont val="Arial"/>
        <family val="2"/>
      </rPr>
      <t>mo</t>
    </r>
  </si>
  <si>
    <r>
      <t>C</t>
    </r>
    <r>
      <rPr>
        <b/>
        <vertAlign val="subscript"/>
        <sz val="14"/>
        <rFont val="Arial"/>
        <family val="2"/>
      </rPr>
      <t>m</t>
    </r>
  </si>
  <si>
    <r>
      <t>C</t>
    </r>
    <r>
      <rPr>
        <b/>
        <vertAlign val="subscript"/>
        <sz val="14"/>
        <rFont val="Arial"/>
        <family val="2"/>
      </rPr>
      <t>mk</t>
    </r>
  </si>
  <si>
    <t>MFU</t>
  </si>
  <si>
    <t>PFU</t>
  </si>
  <si>
    <t>&gt;=125</t>
  </si>
  <si>
    <t>Istwert</t>
  </si>
  <si>
    <t>&gt;=</t>
  </si>
  <si>
    <t>Fr. Silvia Breckner</t>
  </si>
  <si>
    <t>Hr. Gerhard Dicker</t>
  </si>
  <si>
    <t>Hr. Johann Brunthaler</t>
  </si>
  <si>
    <t>Hr. Philipp Seidl</t>
  </si>
  <si>
    <t>Hr. Daniel Buchner</t>
  </si>
  <si>
    <t>Fr. Ursula Eckerstorfer</t>
  </si>
  <si>
    <t>Hr. Dietmar Hofbauer</t>
  </si>
  <si>
    <t>Hr. Christian Auzinger</t>
  </si>
  <si>
    <t>Hr. Michael Doppler</t>
  </si>
  <si>
    <t>Hr. Christoph Kirnstötter</t>
  </si>
  <si>
    <t>Hr. Günter Maislinger</t>
  </si>
  <si>
    <t>Hr. Stefan Reinthaler</t>
  </si>
  <si>
    <t>Hr. Thomas Sauerlachner</t>
  </si>
  <si>
    <t>Hr. Zsolt Simon</t>
  </si>
  <si>
    <t>Hr. Erich Witzmann</t>
  </si>
  <si>
    <t>Hr. Markus Peterlechner</t>
  </si>
  <si>
    <t>DRX-FPNR. / DRX-Article no.:</t>
  </si>
  <si>
    <t>Maßeinheit / unit of measurement</t>
  </si>
  <si>
    <t>Messkriterium / criteria of measurement</t>
  </si>
  <si>
    <t>Sollwert / setpoint</t>
  </si>
  <si>
    <t>Mindestwert (UGW)/ min. value:</t>
  </si>
  <si>
    <t>Maximalwert (OGW) / max. value:</t>
  </si>
  <si>
    <t>Messwerkzeug / test equipment:</t>
  </si>
  <si>
    <t>Formnest Nr. / cavity no.:</t>
  </si>
  <si>
    <t>PRIM-Stand / prim-version.:</t>
  </si>
  <si>
    <t>Bemerkung / remark:</t>
  </si>
  <si>
    <t>Datum / date:</t>
  </si>
  <si>
    <t>Prüfer / testing employee:</t>
  </si>
  <si>
    <t>Umfang der Stichprobe / scope of sample</t>
  </si>
  <si>
    <r>
      <t>Mittelwert / average value: (</t>
    </r>
    <r>
      <rPr>
        <b/>
        <sz val="14"/>
        <rFont val="Symbol"/>
        <family val="1"/>
        <charset val="2"/>
      </rPr>
      <t>m)</t>
    </r>
  </si>
  <si>
    <r>
      <t>Standardabweichung / standard deviation: (</t>
    </r>
    <r>
      <rPr>
        <b/>
        <sz val="14"/>
        <rFont val="Symbol"/>
        <family val="1"/>
        <charset val="2"/>
      </rPr>
      <t>s)</t>
    </r>
  </si>
  <si>
    <t>Sollwerte Stichprobenumfang / 
setpoint for scope of sample</t>
  </si>
  <si>
    <t>Minimalwert / maximum value:</t>
  </si>
  <si>
    <t>Maximalwert / minimum value:</t>
  </si>
  <si>
    <t>Fähigkeitskennwerte / characteristic values:</t>
  </si>
  <si>
    <t>Pfad / path:</t>
  </si>
  <si>
    <t>Toleranzgrenzen / tolerances:</t>
  </si>
  <si>
    <t>Hr. Nicolae Tilibasa</t>
  </si>
  <si>
    <t>Hr. Marius Vomir</t>
  </si>
  <si>
    <t>Hr. Alexandru Cristian Vomir</t>
  </si>
  <si>
    <t>Hr. Cristian Ciontut</t>
  </si>
  <si>
    <t>Hr. Adrian Petru Petros</t>
  </si>
  <si>
    <t>Hr. Razvan Costa</t>
  </si>
  <si>
    <t>Hr. Vasile Bogatu</t>
  </si>
  <si>
    <t>BRA</t>
  </si>
  <si>
    <t>HUN</t>
  </si>
  <si>
    <t>Gewicht / weight</t>
  </si>
  <si>
    <t>Zeit / time</t>
  </si>
  <si>
    <t>Drehmoment / tork</t>
  </si>
  <si>
    <t>Drehwinkel / angle</t>
  </si>
  <si>
    <t>Kraft / force</t>
  </si>
  <si>
    <t>Weg / distance</t>
  </si>
  <si>
    <t>[g]</t>
  </si>
  <si>
    <t>[mm]</t>
  </si>
  <si>
    <t>[sec]</t>
  </si>
  <si>
    <t>[Nm]</t>
  </si>
  <si>
    <t>[°]</t>
  </si>
  <si>
    <t>[N]</t>
  </si>
  <si>
    <t>Kundenteilenummer / costumer Article-No.:</t>
  </si>
  <si>
    <t>Artikelbezeichnung / article name:</t>
  </si>
  <si>
    <t>Zeichnungsindex / drawing-index no.:</t>
  </si>
  <si>
    <r>
      <t xml:space="preserve">Spannweite / range: ( </t>
    </r>
    <r>
      <rPr>
        <b/>
        <sz val="14"/>
        <rFont val="Symbol"/>
        <family val="1"/>
        <charset val="2"/>
      </rPr>
      <t>R )</t>
    </r>
  </si>
  <si>
    <t>m</t>
  </si>
  <si>
    <t>Kunden Toleranzvorgaben / 
customer spec. tolerances</t>
  </si>
  <si>
    <t>EKB - Gewichtstoleranz / 
EKB-DRX weight tolerances</t>
  </si>
  <si>
    <t>nein / no</t>
  </si>
  <si>
    <t>Kritische-, Sicherheits- bzw. gesetzesrelevante Merkmale? 
Critical Product characteristics?</t>
  </si>
  <si>
    <t xml:space="preserve">
Werte können geändert werden / 
Changeable Cells</t>
  </si>
  <si>
    <t xml:space="preserve">
Werte werden berechnet / 
Calculated Cells</t>
  </si>
  <si>
    <t>Name</t>
  </si>
  <si>
    <t>Standort</t>
  </si>
  <si>
    <t>Hr. Toader Cosmin</t>
  </si>
  <si>
    <t>OCR-Korreationswert</t>
  </si>
  <si>
    <t>%</t>
  </si>
  <si>
    <t>30.11.2015 Version 1.5</t>
  </si>
  <si>
    <t>Version</t>
  </si>
  <si>
    <t>Was wurde geändert?</t>
  </si>
  <si>
    <t>Bearbeiter</t>
  </si>
  <si>
    <t>1.6</t>
  </si>
  <si>
    <t>Buchner PCC611</t>
  </si>
  <si>
    <r>
      <t>Tabelle 'Berechnung' ausgeblendet, Arbeitsmappe geschützt</t>
    </r>
    <r>
      <rPr>
        <sz val="11"/>
        <color theme="1"/>
        <rFont val="Calibri"/>
        <family val="2"/>
        <scheme val="minor"/>
      </rPr>
      <t>, Tabelle 'Änderungshistorie' erstellt</t>
    </r>
  </si>
  <si>
    <t>Fr. Angela Sandru</t>
  </si>
  <si>
    <t>1.61</t>
  </si>
  <si>
    <t>Fr. Sandru Angela als Prüferin eingetragen</t>
  </si>
  <si>
    <t>1.62</t>
  </si>
  <si>
    <t>Fr. Frunzic Marina als Prüferin eingetragen</t>
  </si>
  <si>
    <t>Buchner PI44</t>
  </si>
  <si>
    <t>Forminnendruck/pressure</t>
  </si>
  <si>
    <t>1.63</t>
  </si>
  <si>
    <t>Forminnedruck als mögliches Messkriterium aufgenommen</t>
  </si>
  <si>
    <t>[bar]</t>
  </si>
  <si>
    <t>\\internal.draexlmaier.com\DRX$\_DRXSites\RO_HUN\PCC\600_Engineering\Info\PFU_MFU\</t>
  </si>
  <si>
    <t>1.64</t>
  </si>
  <si>
    <t>Hr. Joachimbauer Philipp</t>
  </si>
  <si>
    <t>Hr. Joachimbauer Philipp und Hr. Klenkhart Gernot als Prüfer eingetragen</t>
  </si>
  <si>
    <t>Hr. Klenkhart Gernot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</si>
</sst>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0"/>
    <numFmt numFmtId="166" formatCode="0.0%"/>
    <numFmt numFmtId="167" formatCode="0.000"/>
    <numFmt numFmtId="168" formatCode="#,##0.00_ ;\-#,##0.00\ "/>
    <numFmt numFmtId="169" formatCode="0.0000"/>
    <numFmt numFmtId="170" formatCode="#,##0.0000_ ;\-#,##0.0000\ "/>
    <numFmt numFmtId="171" formatCode="#,##0_ ;\-#,##0\ "/>
  </numFmts>
  <fonts count="46" x14ac:knownFonts="1">
    <font>
      <sz val="11"/>
      <color theme="1"/>
      <name val="Calibri"/>
      <family val="2"/>
      <scheme val="minor"/>
    </font>
    <font>
      <b/>
      <sz val="14"/>
      <name val="Symbol"/>
      <family val="1"/>
      <charset val="2"/>
    </font>
    <font>
      <b/>
      <vertAlign val="subscript"/>
      <sz val="14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vertAlign val="subscript"/>
      <sz val="14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u/>
      <sz val="14"/>
      <name val="Calibri"/>
      <family val="2"/>
      <scheme val="minor"/>
    </font>
    <font>
      <u/>
      <sz val="11"/>
      <name val="Calibri"/>
      <family val="2"/>
      <scheme val="minor"/>
    </font>
    <font>
      <sz val="22"/>
      <name val="Calibri"/>
      <family val="2"/>
      <scheme val="minor"/>
    </font>
    <font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sz val="4"/>
      <color theme="1"/>
      <name val="Calibri"/>
      <family val="2"/>
      <scheme val="minor"/>
    </font>
    <font>
      <b/>
      <sz val="18"/>
      <name val="Calibri"/>
      <family val="2"/>
      <scheme val="minor"/>
    </font>
    <font>
      <u/>
      <sz val="18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36"/>
      <name val="Calibri"/>
      <family val="2"/>
      <scheme val="minor"/>
    </font>
    <font>
      <u/>
      <sz val="22"/>
      <color theme="10"/>
      <name val="Calibri"/>
      <family val="2"/>
      <scheme val="minor"/>
    </font>
    <font>
      <u/>
      <sz val="28"/>
      <color theme="10"/>
      <name val="Calibri"/>
      <family val="2"/>
      <scheme val="minor"/>
    </font>
    <font>
      <sz val="28"/>
      <name val="Calibri"/>
      <family val="2"/>
      <scheme val="minor"/>
    </font>
    <font>
      <u/>
      <sz val="22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  <font>
      <sz val="11"/>
      <name val="Symbol"/>
      <family val="1"/>
      <charset val="2"/>
    </font>
    <font>
      <b/>
      <i/>
      <sz val="12"/>
      <name val="Calibri"/>
      <family val="2"/>
      <scheme val="minor"/>
    </font>
    <font>
      <sz val="10"/>
      <name val="Arial"/>
      <family val="2"/>
    </font>
    <font>
      <b/>
      <sz val="2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164" fontId="10" fillId="0" borderId="0" applyFont="0" applyFill="0" applyBorder="0" applyAlignment="0" applyProtection="0"/>
    <xf numFmtId="0" fontId="12" fillId="0" borderId="0" applyNumberFormat="0" applyFill="0" applyBorder="0" applyAlignment="0" applyProtection="0"/>
    <xf numFmtId="9" fontId="10" fillId="0" borderId="0" applyFont="0" applyFill="0" applyBorder="0" applyAlignment="0" applyProtection="0"/>
    <xf numFmtId="0" fontId="44" fillId="0" borderId="0"/>
    <xf numFmtId="0" fontId="44" fillId="0" borderId="0"/>
  </cellStyleXfs>
  <cellXfs count="281">
    <xf numFmtId="0" fontId="0" fillId="0" borderId="0" xfId="0"/>
    <xf numFmtId="0" fontId="0" fillId="0" borderId="0" xfId="0" applyProtection="1">
      <protection hidden="1"/>
    </xf>
    <xf numFmtId="0" fontId="16" fillId="0" borderId="0" xfId="0" applyFont="1" applyProtection="1">
      <protection hidden="1"/>
    </xf>
    <xf numFmtId="0" fontId="17" fillId="0" borderId="0" xfId="0" applyFont="1" applyProtection="1">
      <protection hidden="1"/>
    </xf>
    <xf numFmtId="0" fontId="16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167" fontId="7" fillId="0" borderId="0" xfId="0" applyNumberFormat="1" applyFont="1" applyAlignment="1" applyProtection="1">
      <alignment vertical="center"/>
      <protection hidden="1"/>
    </xf>
    <xf numFmtId="2" fontId="8" fillId="0" borderId="0" xfId="0" applyNumberFormat="1" applyFont="1" applyAlignment="1" applyProtection="1">
      <alignment vertical="center"/>
      <protection hidden="1"/>
    </xf>
    <xf numFmtId="165" fontId="7" fillId="0" borderId="0" xfId="0" applyNumberFormat="1" applyFont="1" applyAlignment="1" applyProtection="1">
      <alignment vertical="center"/>
      <protection hidden="1"/>
    </xf>
    <xf numFmtId="1" fontId="6" fillId="0" borderId="0" xfId="0" applyNumberFormat="1" applyFont="1" applyAlignment="1" applyProtection="1">
      <alignment vertical="center"/>
      <protection hidden="1"/>
    </xf>
    <xf numFmtId="166" fontId="8" fillId="0" borderId="0" xfId="3" applyNumberFormat="1" applyFont="1" applyFill="1" applyBorder="1" applyAlignment="1" applyProtection="1">
      <alignment vertical="center"/>
      <protection hidden="1"/>
    </xf>
    <xf numFmtId="1" fontId="8" fillId="0" borderId="0" xfId="0" applyNumberFormat="1" applyFont="1" applyAlignment="1" applyProtection="1">
      <alignment vertical="center"/>
      <protection hidden="1"/>
    </xf>
    <xf numFmtId="2" fontId="6" fillId="0" borderId="0" xfId="3" applyNumberFormat="1" applyFont="1" applyFill="1" applyBorder="1" applyAlignment="1" applyProtection="1">
      <alignment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167" fontId="16" fillId="0" borderId="0" xfId="0" applyNumberFormat="1" applyFont="1" applyProtection="1">
      <protection hidden="1"/>
    </xf>
    <xf numFmtId="0" fontId="18" fillId="0" borderId="0" xfId="0" applyFont="1" applyProtection="1">
      <protection hidden="1"/>
    </xf>
    <xf numFmtId="0" fontId="16" fillId="3" borderId="1" xfId="0" applyFont="1" applyFill="1" applyBorder="1" applyProtection="1">
      <protection hidden="1"/>
    </xf>
    <xf numFmtId="0" fontId="17" fillId="3" borderId="1" xfId="0" applyFont="1" applyFill="1" applyBorder="1" applyProtection="1">
      <protection hidden="1"/>
    </xf>
    <xf numFmtId="0" fontId="19" fillId="3" borderId="1" xfId="0" applyFont="1" applyFill="1" applyBorder="1" applyAlignment="1" applyProtection="1">
      <alignment horizontal="center" vertical="center"/>
      <protection hidden="1"/>
    </xf>
    <xf numFmtId="0" fontId="20" fillId="3" borderId="1" xfId="0" applyFont="1" applyFill="1" applyBorder="1" applyAlignment="1" applyProtection="1">
      <alignment horizontal="center" vertical="center"/>
      <protection hidden="1"/>
    </xf>
    <xf numFmtId="0" fontId="19" fillId="3" borderId="1" xfId="0" applyFont="1" applyFill="1" applyBorder="1" applyAlignment="1" applyProtection="1">
      <alignment vertical="center"/>
      <protection hidden="1"/>
    </xf>
    <xf numFmtId="2" fontId="17" fillId="3" borderId="1" xfId="0" applyNumberFormat="1" applyFont="1" applyFill="1" applyBorder="1" applyProtection="1">
      <protection hidden="1"/>
    </xf>
    <xf numFmtId="2" fontId="19" fillId="3" borderId="1" xfId="0" applyNumberFormat="1" applyFont="1" applyFill="1" applyBorder="1" applyAlignment="1" applyProtection="1">
      <alignment vertical="center"/>
      <protection hidden="1"/>
    </xf>
    <xf numFmtId="3" fontId="19" fillId="3" borderId="1" xfId="0" applyNumberFormat="1" applyFont="1" applyFill="1" applyBorder="1" applyAlignment="1" applyProtection="1">
      <alignment horizontal="center" vertical="center"/>
      <protection hidden="1"/>
    </xf>
    <xf numFmtId="0" fontId="6" fillId="0" borderId="1" xfId="0" applyFont="1" applyBorder="1" applyAlignment="1" applyProtection="1">
      <alignment vertical="center"/>
      <protection hidden="1"/>
    </xf>
    <xf numFmtId="2" fontId="7" fillId="0" borderId="1" xfId="0" applyNumberFormat="1" applyFont="1" applyBorder="1" applyAlignment="1" applyProtection="1">
      <alignment vertical="center"/>
      <protection hidden="1"/>
    </xf>
    <xf numFmtId="167" fontId="7" fillId="0" borderId="1" xfId="0" applyNumberFormat="1" applyFont="1" applyBorder="1" applyAlignment="1" applyProtection="1">
      <alignment vertical="center"/>
      <protection hidden="1"/>
    </xf>
    <xf numFmtId="2" fontId="8" fillId="0" borderId="1" xfId="0" applyNumberFormat="1" applyFont="1" applyBorder="1" applyAlignment="1" applyProtection="1">
      <alignment vertical="center"/>
      <protection hidden="1"/>
    </xf>
    <xf numFmtId="165" fontId="7" fillId="0" borderId="1" xfId="0" applyNumberFormat="1" applyFont="1" applyBorder="1" applyAlignment="1" applyProtection="1">
      <alignment vertical="center"/>
      <protection hidden="1"/>
    </xf>
    <xf numFmtId="1" fontId="6" fillId="0" borderId="1" xfId="0" applyNumberFormat="1" applyFont="1" applyBorder="1" applyAlignment="1" applyProtection="1">
      <alignment vertical="center"/>
      <protection hidden="1"/>
    </xf>
    <xf numFmtId="166" fontId="8" fillId="0" borderId="1" xfId="3" applyNumberFormat="1" applyFont="1" applyFill="1" applyBorder="1" applyAlignment="1" applyProtection="1">
      <alignment vertical="center"/>
      <protection hidden="1"/>
    </xf>
    <xf numFmtId="1" fontId="8" fillId="0" borderId="1" xfId="0" applyNumberFormat="1" applyFont="1" applyBorder="1" applyAlignment="1" applyProtection="1">
      <alignment vertical="center"/>
      <protection hidden="1"/>
    </xf>
    <xf numFmtId="2" fontId="6" fillId="0" borderId="1" xfId="3" applyNumberFormat="1" applyFont="1" applyFill="1" applyBorder="1" applyAlignment="1" applyProtection="1">
      <alignment vertical="center"/>
      <protection hidden="1"/>
    </xf>
    <xf numFmtId="0" fontId="16" fillId="0" borderId="1" xfId="0" applyFont="1" applyBorder="1" applyProtection="1">
      <protection hidden="1"/>
    </xf>
    <xf numFmtId="170" fontId="16" fillId="0" borderId="1" xfId="0" applyNumberFormat="1" applyFont="1" applyBorder="1" applyProtection="1">
      <protection hidden="1"/>
    </xf>
    <xf numFmtId="2" fontId="16" fillId="0" borderId="1" xfId="0" applyNumberFormat="1" applyFont="1" applyBorder="1" applyProtection="1">
      <protection hidden="1"/>
    </xf>
    <xf numFmtId="0" fontId="16" fillId="0" borderId="2" xfId="0" applyFont="1" applyBorder="1" applyProtection="1">
      <protection hidden="1"/>
    </xf>
    <xf numFmtId="170" fontId="16" fillId="0" borderId="2" xfId="0" applyNumberFormat="1" applyFont="1" applyBorder="1" applyProtection="1">
      <protection hidden="1"/>
    </xf>
    <xf numFmtId="2" fontId="16" fillId="0" borderId="2" xfId="0" applyNumberFormat="1" applyFont="1" applyBorder="1" applyProtection="1"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6" fillId="0" borderId="1" xfId="0" applyFont="1" applyBorder="1" applyAlignment="1" applyProtection="1">
      <alignment horizontal="center" vertical="center"/>
      <protection hidden="1"/>
    </xf>
    <xf numFmtId="167" fontId="16" fillId="0" borderId="1" xfId="0" applyNumberFormat="1" applyFont="1" applyBorder="1" applyAlignment="1" applyProtection="1">
      <alignment vertical="center"/>
      <protection hidden="1"/>
    </xf>
    <xf numFmtId="167" fontId="16" fillId="0" borderId="1" xfId="0" applyNumberFormat="1" applyFont="1" applyBorder="1" applyProtection="1">
      <protection hidden="1"/>
    </xf>
    <xf numFmtId="0" fontId="16" fillId="0" borderId="1" xfId="0" applyFont="1" applyBorder="1" applyAlignment="1" applyProtection="1">
      <alignment vertical="center"/>
      <protection hidden="1"/>
    </xf>
    <xf numFmtId="169" fontId="4" fillId="0" borderId="1" xfId="0" applyNumberFormat="1" applyFont="1" applyBorder="1" applyAlignment="1" applyProtection="1">
      <alignment horizontal="center" vertical="center"/>
      <protection hidden="1"/>
    </xf>
    <xf numFmtId="167" fontId="4" fillId="0" borderId="1" xfId="0" applyNumberFormat="1" applyFont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167" fontId="16" fillId="0" borderId="1" xfId="0" applyNumberFormat="1" applyFont="1" applyBorder="1" applyAlignment="1" applyProtection="1">
      <alignment horizontal="center" vertical="center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2" fontId="16" fillId="0" borderId="1" xfId="0" applyNumberFormat="1" applyFont="1" applyBorder="1" applyAlignment="1" applyProtection="1">
      <alignment vertical="center"/>
      <protection hidden="1"/>
    </xf>
    <xf numFmtId="0" fontId="20" fillId="0" borderId="0" xfId="0" applyFont="1" applyAlignment="1" applyProtection="1">
      <alignment vertical="center"/>
      <protection hidden="1"/>
    </xf>
    <xf numFmtId="0" fontId="20" fillId="0" borderId="0" xfId="0" applyFont="1" applyAlignment="1" applyProtection="1">
      <alignment horizontal="right"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168" fontId="20" fillId="0" borderId="0" xfId="1" applyNumberFormat="1" applyFont="1" applyFill="1" applyBorder="1" applyAlignment="1" applyProtection="1">
      <alignment horizontal="center" vertical="center"/>
      <protection hidden="1"/>
    </xf>
    <xf numFmtId="1" fontId="20" fillId="0" borderId="0" xfId="0" applyNumberFormat="1" applyFont="1" applyAlignment="1" applyProtection="1">
      <alignment horizontal="center" vertical="center"/>
      <protection hidden="1"/>
    </xf>
    <xf numFmtId="2" fontId="20" fillId="0" borderId="0" xfId="0" applyNumberFormat="1" applyFont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1" fontId="20" fillId="0" borderId="0" xfId="3" applyNumberFormat="1" applyFont="1" applyFill="1" applyBorder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vertical="center"/>
      <protection hidden="1"/>
    </xf>
    <xf numFmtId="0" fontId="5" fillId="0" borderId="1" xfId="0" applyFont="1" applyBorder="1" applyAlignment="1" applyProtection="1">
      <alignment horizontal="center"/>
      <protection hidden="1"/>
    </xf>
    <xf numFmtId="0" fontId="5" fillId="0" borderId="1" xfId="0" applyFont="1" applyBorder="1" applyAlignment="1" applyProtection="1">
      <alignment horizontal="center" vertical="top"/>
      <protection hidden="1"/>
    </xf>
    <xf numFmtId="0" fontId="6" fillId="0" borderId="1" xfId="0" applyFont="1" applyBorder="1" applyAlignment="1" applyProtection="1">
      <alignment horizontal="center"/>
      <protection hidden="1"/>
    </xf>
    <xf numFmtId="0" fontId="19" fillId="0" borderId="1" xfId="0" applyFont="1" applyBorder="1" applyAlignment="1" applyProtection="1">
      <alignment horizontal="center" vertical="center"/>
      <protection hidden="1"/>
    </xf>
    <xf numFmtId="0" fontId="19" fillId="0" borderId="1" xfId="0" applyFont="1" applyBorder="1" applyAlignment="1" applyProtection="1">
      <alignment vertical="center"/>
      <protection hidden="1"/>
    </xf>
    <xf numFmtId="2" fontId="19" fillId="0" borderId="1" xfId="0" applyNumberFormat="1" applyFont="1" applyBorder="1" applyAlignment="1" applyProtection="1">
      <alignment vertical="center"/>
      <protection hidden="1"/>
    </xf>
    <xf numFmtId="3" fontId="19" fillId="0" borderId="1" xfId="0" applyNumberFormat="1" applyFont="1" applyBorder="1" applyAlignment="1" applyProtection="1">
      <alignment horizontal="center" vertical="center"/>
      <protection hidden="1"/>
    </xf>
    <xf numFmtId="0" fontId="21" fillId="0" borderId="0" xfId="2" applyFont="1" applyFill="1" applyBorder="1" applyProtection="1">
      <protection hidden="1"/>
    </xf>
    <xf numFmtId="0" fontId="22" fillId="0" borderId="0" xfId="2" applyFont="1" applyFill="1" applyBorder="1" applyProtection="1">
      <protection hidden="1"/>
    </xf>
    <xf numFmtId="0" fontId="11" fillId="0" borderId="0" xfId="0" applyFont="1" applyProtection="1">
      <protection hidden="1"/>
    </xf>
    <xf numFmtId="0" fontId="23" fillId="0" borderId="0" xfId="0" applyFont="1" applyProtection="1">
      <protection hidden="1"/>
    </xf>
    <xf numFmtId="0" fontId="24" fillId="0" borderId="0" xfId="0" applyFont="1" applyProtection="1">
      <protection hidden="1"/>
    </xf>
    <xf numFmtId="0" fontId="25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169" fontId="4" fillId="0" borderId="0" xfId="0" applyNumberFormat="1" applyFont="1" applyAlignment="1" applyProtection="1">
      <alignment horizontal="center" vertical="center"/>
      <protection hidden="1"/>
    </xf>
    <xf numFmtId="167" fontId="4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vertical="center"/>
      <protection hidden="1"/>
    </xf>
    <xf numFmtId="2" fontId="16" fillId="0" borderId="0" xfId="0" applyNumberFormat="1" applyFont="1" applyAlignment="1" applyProtection="1">
      <alignment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167" fontId="16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167" fontId="16" fillId="0" borderId="0" xfId="0" applyNumberFormat="1" applyFont="1" applyAlignment="1" applyProtection="1">
      <alignment vertical="center"/>
      <protection hidden="1"/>
    </xf>
    <xf numFmtId="0" fontId="15" fillId="0" borderId="0" xfId="0" applyFont="1" applyAlignment="1" applyProtection="1">
      <alignment horizontal="right" vertical="center"/>
      <protection hidden="1"/>
    </xf>
    <xf numFmtId="0" fontId="15" fillId="0" borderId="0" xfId="0" applyFont="1" applyAlignment="1" applyProtection="1">
      <alignment vertical="center"/>
      <protection hidden="1"/>
    </xf>
    <xf numFmtId="0" fontId="26" fillId="0" borderId="0" xfId="0" applyFont="1" applyAlignment="1" applyProtection="1">
      <alignment vertical="center"/>
      <protection hidden="1"/>
    </xf>
    <xf numFmtId="2" fontId="16" fillId="0" borderId="0" xfId="0" applyNumberFormat="1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 vertical="top"/>
      <protection hidden="1"/>
    </xf>
    <xf numFmtId="0" fontId="6" fillId="0" borderId="0" xfId="0" applyFont="1" applyAlignment="1" applyProtection="1">
      <alignment horizontal="center"/>
      <protection hidden="1"/>
    </xf>
    <xf numFmtId="2" fontId="7" fillId="0" borderId="0" xfId="0" applyNumberFormat="1" applyFont="1" applyAlignment="1" applyProtection="1">
      <alignment vertical="center"/>
      <protection hidden="1"/>
    </xf>
    <xf numFmtId="170" fontId="16" fillId="0" borderId="0" xfId="0" applyNumberFormat="1" applyFont="1" applyProtection="1">
      <protection hidden="1"/>
    </xf>
    <xf numFmtId="0" fontId="27" fillId="0" borderId="0" xfId="0" applyFont="1" applyAlignment="1" applyProtection="1">
      <alignment horizontal="center"/>
      <protection hidden="1"/>
    </xf>
    <xf numFmtId="0" fontId="28" fillId="0" borderId="0" xfId="2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29" fillId="0" borderId="0" xfId="0" applyFont="1" applyAlignment="1" applyProtection="1">
      <alignment horizontal="left" vertical="center"/>
      <protection hidden="1"/>
    </xf>
    <xf numFmtId="0" fontId="28" fillId="0" borderId="0" xfId="2" applyFont="1" applyBorder="1" applyAlignment="1" applyProtection="1">
      <alignment vertical="center"/>
      <protection hidden="1"/>
    </xf>
    <xf numFmtId="0" fontId="20" fillId="0" borderId="0" xfId="0" applyFont="1" applyAlignment="1" applyProtection="1">
      <alignment vertical="top"/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hidden="1"/>
    </xf>
    <xf numFmtId="0" fontId="13" fillId="0" borderId="6" xfId="0" applyFont="1" applyBorder="1" applyProtection="1">
      <protection hidden="1"/>
    </xf>
    <xf numFmtId="0" fontId="13" fillId="0" borderId="7" xfId="0" applyFont="1" applyBorder="1" applyProtection="1">
      <protection hidden="1"/>
    </xf>
    <xf numFmtId="0" fontId="13" fillId="0" borderId="8" xfId="0" applyFont="1" applyBorder="1" applyProtection="1">
      <protection hidden="1"/>
    </xf>
    <xf numFmtId="0" fontId="0" fillId="0" borderId="9" xfId="0" applyBorder="1" applyProtection="1">
      <protection hidden="1"/>
    </xf>
    <xf numFmtId="0" fontId="0" fillId="0" borderId="9" xfId="0" applyBorder="1" applyAlignment="1" applyProtection="1">
      <alignment vertical="center"/>
      <protection hidden="1"/>
    </xf>
    <xf numFmtId="0" fontId="13" fillId="0" borderId="8" xfId="0" applyFont="1" applyBorder="1" applyAlignment="1" applyProtection="1">
      <alignment vertical="center"/>
      <protection hidden="1"/>
    </xf>
    <xf numFmtId="0" fontId="25" fillId="0" borderId="0" xfId="0" applyFont="1" applyAlignment="1" applyProtection="1">
      <alignment vertical="center"/>
      <protection hidden="1"/>
    </xf>
    <xf numFmtId="0" fontId="11" fillId="0" borderId="10" xfId="0" applyFont="1" applyBorder="1" applyProtection="1">
      <protection hidden="1"/>
    </xf>
    <xf numFmtId="0" fontId="11" fillId="0" borderId="11" xfId="0" applyFont="1" applyBorder="1" applyProtection="1">
      <protection hidden="1"/>
    </xf>
    <xf numFmtId="0" fontId="13" fillId="0" borderId="12" xfId="0" applyFont="1" applyBorder="1" applyAlignment="1" applyProtection="1">
      <alignment vertical="center"/>
      <protection hidden="1"/>
    </xf>
    <xf numFmtId="2" fontId="15" fillId="0" borderId="9" xfId="0" applyNumberFormat="1" applyFont="1" applyBorder="1" applyAlignment="1" applyProtection="1">
      <alignment vertical="center" wrapText="1"/>
      <protection hidden="1"/>
    </xf>
    <xf numFmtId="0" fontId="29" fillId="0" borderId="0" xfId="0" applyFont="1" applyProtection="1">
      <protection hidden="1"/>
    </xf>
    <xf numFmtId="0" fontId="17" fillId="0" borderId="0" xfId="0" applyFont="1" applyAlignment="1" applyProtection="1">
      <alignment horizontal="right" vertical="center"/>
      <protection hidden="1"/>
    </xf>
    <xf numFmtId="14" fontId="39" fillId="0" borderId="0" xfId="0" applyNumberFormat="1" applyFont="1" applyAlignment="1" applyProtection="1">
      <alignment horizontal="center" vertical="center"/>
      <protection hidden="1"/>
    </xf>
    <xf numFmtId="0" fontId="38" fillId="0" borderId="0" xfId="2" applyFont="1" applyFill="1" applyBorder="1" applyAlignment="1" applyProtection="1">
      <alignment vertical="center"/>
      <protection hidden="1"/>
    </xf>
    <xf numFmtId="0" fontId="18" fillId="0" borderId="11" xfId="0" applyFont="1" applyBorder="1" applyAlignment="1" applyProtection="1">
      <alignment horizontal="right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12" fillId="0" borderId="11" xfId="2" applyBorder="1" applyProtection="1">
      <protection hidden="1"/>
    </xf>
    <xf numFmtId="0" fontId="16" fillId="0" borderId="11" xfId="0" applyFont="1" applyBorder="1" applyAlignment="1" applyProtection="1">
      <alignment horizontal="right"/>
      <protection hidden="1"/>
    </xf>
    <xf numFmtId="2" fontId="15" fillId="0" borderId="16" xfId="0" applyNumberFormat="1" applyFont="1" applyBorder="1" applyAlignment="1" applyProtection="1">
      <alignment horizontal="left" vertical="center"/>
      <protection hidden="1"/>
    </xf>
    <xf numFmtId="2" fontId="15" fillId="4" borderId="1" xfId="0" applyNumberFormat="1" applyFont="1" applyFill="1" applyBorder="1" applyAlignment="1" applyProtection="1">
      <alignment horizontal="center" vertical="center"/>
      <protection hidden="1"/>
    </xf>
    <xf numFmtId="0" fontId="15" fillId="0" borderId="17" xfId="0" applyFont="1" applyBorder="1" applyAlignment="1" applyProtection="1">
      <alignment horizontal="center" vertical="center"/>
      <protection hidden="1"/>
    </xf>
    <xf numFmtId="1" fontId="15" fillId="4" borderId="20" xfId="0" applyNumberFormat="1" applyFont="1" applyFill="1" applyBorder="1" applyAlignment="1" applyProtection="1">
      <alignment horizontal="center" vertical="center"/>
      <protection hidden="1"/>
    </xf>
    <xf numFmtId="2" fontId="15" fillId="4" borderId="20" xfId="0" applyNumberFormat="1" applyFont="1" applyFill="1" applyBorder="1" applyAlignment="1" applyProtection="1">
      <alignment horizontal="center" vertical="center"/>
      <protection hidden="1"/>
    </xf>
    <xf numFmtId="2" fontId="15" fillId="4" borderId="21" xfId="0" applyNumberFormat="1" applyFont="1" applyFill="1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49" fontId="4" fillId="0" borderId="0" xfId="0" applyNumberFormat="1" applyFont="1" applyAlignment="1" applyProtection="1">
      <alignment horizontal="left"/>
      <protection hidden="1"/>
    </xf>
    <xf numFmtId="0" fontId="16" fillId="0" borderId="17" xfId="0" applyFont="1" applyBorder="1" applyAlignment="1" applyProtection="1">
      <alignment vertical="center"/>
      <protection hidden="1"/>
    </xf>
    <xf numFmtId="0" fontId="16" fillId="0" borderId="19" xfId="0" applyFont="1" applyBorder="1" applyAlignment="1" applyProtection="1">
      <alignment vertical="center"/>
      <protection hidden="1"/>
    </xf>
    <xf numFmtId="0" fontId="16" fillId="0" borderId="24" xfId="0" applyFont="1" applyBorder="1" applyAlignment="1" applyProtection="1">
      <alignment vertical="center"/>
      <protection hidden="1"/>
    </xf>
    <xf numFmtId="0" fontId="16" fillId="0" borderId="3" xfId="0" applyFont="1" applyBorder="1" applyAlignment="1" applyProtection="1">
      <alignment vertical="center"/>
      <protection hidden="1"/>
    </xf>
    <xf numFmtId="0" fontId="16" fillId="0" borderId="25" xfId="0" applyFont="1" applyBorder="1" applyAlignment="1" applyProtection="1">
      <alignment vertical="center"/>
      <protection hidden="1"/>
    </xf>
    <xf numFmtId="0" fontId="16" fillId="0" borderId="23" xfId="0" applyFont="1" applyBorder="1" applyAlignment="1" applyProtection="1">
      <alignment vertical="center"/>
      <protection hidden="1"/>
    </xf>
    <xf numFmtId="0" fontId="17" fillId="0" borderId="18" xfId="0" applyFont="1" applyBorder="1" applyAlignment="1" applyProtection="1">
      <alignment horizontal="right" vertical="center"/>
      <protection hidden="1"/>
    </xf>
    <xf numFmtId="0" fontId="15" fillId="0" borderId="18" xfId="0" applyFont="1" applyBorder="1" applyAlignment="1" applyProtection="1">
      <alignment horizontal="right"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17" fillId="0" borderId="24" xfId="0" applyFont="1" applyBorder="1" applyAlignment="1" applyProtection="1">
      <alignment vertical="center"/>
      <protection hidden="1"/>
    </xf>
    <xf numFmtId="0" fontId="14" fillId="0" borderId="3" xfId="0" applyFont="1" applyBorder="1" applyAlignment="1" applyProtection="1">
      <alignment vertical="center"/>
      <protection hidden="1"/>
    </xf>
    <xf numFmtId="0" fontId="17" fillId="0" borderId="25" xfId="0" applyFont="1" applyBorder="1" applyAlignment="1" applyProtection="1">
      <alignment vertical="center"/>
      <protection hidden="1"/>
    </xf>
    <xf numFmtId="0" fontId="17" fillId="0" borderId="30" xfId="0" applyFont="1" applyBorder="1" applyAlignment="1" applyProtection="1">
      <alignment horizontal="right" vertical="center"/>
      <protection hidden="1"/>
    </xf>
    <xf numFmtId="2" fontId="15" fillId="4" borderId="32" xfId="0" applyNumberFormat="1" applyFont="1" applyFill="1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vertical="center"/>
      <protection hidden="1"/>
    </xf>
    <xf numFmtId="0" fontId="14" fillId="0" borderId="23" xfId="0" applyFont="1" applyBorder="1" applyAlignment="1" applyProtection="1">
      <alignment vertical="center"/>
      <protection hidden="1"/>
    </xf>
    <xf numFmtId="0" fontId="17" fillId="0" borderId="17" xfId="0" applyFont="1" applyBorder="1" applyAlignment="1" applyProtection="1">
      <alignment vertical="center"/>
      <protection hidden="1"/>
    </xf>
    <xf numFmtId="0" fontId="20" fillId="0" borderId="30" xfId="0" applyFont="1" applyBorder="1" applyAlignment="1" applyProtection="1">
      <alignment horizontal="right" vertical="center"/>
      <protection hidden="1"/>
    </xf>
    <xf numFmtId="0" fontId="20" fillId="0" borderId="18" xfId="0" applyFont="1" applyBorder="1" applyAlignment="1" applyProtection="1">
      <alignment horizontal="right" vertical="center"/>
      <protection hidden="1"/>
    </xf>
    <xf numFmtId="0" fontId="25" fillId="0" borderId="24" xfId="0" applyFont="1" applyBorder="1" applyProtection="1">
      <protection hidden="1"/>
    </xf>
    <xf numFmtId="0" fontId="25" fillId="0" borderId="25" xfId="0" applyFont="1" applyBorder="1" applyProtection="1">
      <protection hidden="1"/>
    </xf>
    <xf numFmtId="0" fontId="25" fillId="0" borderId="18" xfId="0" applyFont="1" applyBorder="1" applyProtection="1">
      <protection hidden="1"/>
    </xf>
    <xf numFmtId="0" fontId="25" fillId="0" borderId="30" xfId="0" applyFont="1" applyBorder="1" applyProtection="1">
      <protection hidden="1"/>
    </xf>
    <xf numFmtId="168" fontId="30" fillId="2" borderId="1" xfId="1" applyNumberFormat="1" applyFont="1" applyFill="1" applyBorder="1" applyAlignment="1" applyProtection="1">
      <alignment horizontal="center" vertical="center"/>
      <protection locked="0"/>
    </xf>
    <xf numFmtId="168" fontId="30" fillId="2" borderId="2" xfId="1" applyNumberFormat="1" applyFont="1" applyFill="1" applyBorder="1" applyAlignment="1" applyProtection="1">
      <alignment horizontal="center" vertical="center"/>
      <protection locked="0"/>
    </xf>
    <xf numFmtId="168" fontId="30" fillId="2" borderId="32" xfId="1" applyNumberFormat="1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hidden="1"/>
    </xf>
    <xf numFmtId="0" fontId="0" fillId="0" borderId="35" xfId="0" applyBorder="1" applyAlignment="1" applyProtection="1">
      <alignment horizontal="left" vertical="center"/>
      <protection hidden="1"/>
    </xf>
    <xf numFmtId="0" fontId="42" fillId="0" borderId="1" xfId="0" applyFont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vertical="center" wrapText="1"/>
      <protection hidden="1"/>
    </xf>
    <xf numFmtId="2" fontId="15" fillId="4" borderId="4" xfId="0" applyNumberFormat="1" applyFont="1" applyFill="1" applyBorder="1" applyAlignment="1" applyProtection="1">
      <alignment horizontal="center" vertical="center"/>
      <protection hidden="1"/>
    </xf>
    <xf numFmtId="2" fontId="15" fillId="4" borderId="5" xfId="0" applyNumberFormat="1" applyFont="1" applyFill="1" applyBorder="1" applyAlignment="1" applyProtection="1">
      <alignment horizontal="center" vertical="center"/>
      <protection hidden="1"/>
    </xf>
    <xf numFmtId="2" fontId="15" fillId="4" borderId="43" xfId="0" applyNumberFormat="1" applyFont="1" applyFill="1" applyBorder="1" applyAlignment="1" applyProtection="1">
      <alignment horizontal="center" vertical="center"/>
      <protection hidden="1"/>
    </xf>
    <xf numFmtId="0" fontId="15" fillId="0" borderId="43" xfId="0" applyFont="1" applyBorder="1" applyAlignment="1" applyProtection="1">
      <alignment horizontal="right" vertical="center"/>
      <protection hidden="1"/>
    </xf>
    <xf numFmtId="0" fontId="16" fillId="6" borderId="24" xfId="0" applyFont="1" applyFill="1" applyBorder="1" applyAlignment="1" applyProtection="1">
      <alignment vertical="center"/>
      <protection hidden="1"/>
    </xf>
    <xf numFmtId="0" fontId="16" fillId="6" borderId="3" xfId="0" applyFont="1" applyFill="1" applyBorder="1" applyAlignment="1" applyProtection="1">
      <alignment vertical="center"/>
      <protection hidden="1"/>
    </xf>
    <xf numFmtId="0" fontId="16" fillId="6" borderId="25" xfId="0" applyFont="1" applyFill="1" applyBorder="1" applyAlignment="1" applyProtection="1">
      <alignment vertical="center"/>
      <protection hidden="1"/>
    </xf>
    <xf numFmtId="0" fontId="16" fillId="6" borderId="23" xfId="0" applyFont="1" applyFill="1" applyBorder="1" applyAlignment="1" applyProtection="1">
      <alignment vertical="center"/>
      <protection hidden="1"/>
    </xf>
    <xf numFmtId="0" fontId="43" fillId="7" borderId="0" xfId="0" applyFont="1" applyFill="1" applyProtection="1">
      <protection hidden="1"/>
    </xf>
    <xf numFmtId="0" fontId="16" fillId="3" borderId="24" xfId="0" applyFont="1" applyFill="1" applyBorder="1" applyAlignment="1" applyProtection="1">
      <alignment vertical="center"/>
      <protection hidden="1"/>
    </xf>
    <xf numFmtId="0" fontId="16" fillId="3" borderId="3" xfId="0" applyFont="1" applyFill="1" applyBorder="1" applyAlignment="1" applyProtection="1">
      <alignment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center" vertical="center"/>
      <protection hidden="1"/>
    </xf>
    <xf numFmtId="2" fontId="17" fillId="0" borderId="1" xfId="0" applyNumberFormat="1" applyFont="1" applyBorder="1" applyProtection="1">
      <protection hidden="1"/>
    </xf>
    <xf numFmtId="0" fontId="17" fillId="0" borderId="1" xfId="0" applyFont="1" applyBorder="1" applyProtection="1">
      <protection hidden="1"/>
    </xf>
    <xf numFmtId="2" fontId="0" fillId="2" borderId="0" xfId="0" applyNumberFormat="1" applyFill="1" applyProtection="1">
      <protection locked="0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2" fontId="14" fillId="0" borderId="0" xfId="0" applyNumberFormat="1" applyFont="1" applyAlignment="1">
      <alignment vertical="center"/>
    </xf>
    <xf numFmtId="3" fontId="14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0" fillId="0" borderId="16" xfId="0" applyBorder="1"/>
    <xf numFmtId="0" fontId="0" fillId="0" borderId="45" xfId="0" applyBorder="1"/>
    <xf numFmtId="49" fontId="0" fillId="0" borderId="44" xfId="0" applyNumberFormat="1" applyBorder="1"/>
    <xf numFmtId="49" fontId="0" fillId="0" borderId="2" xfId="0" applyNumberFormat="1" applyBorder="1"/>
    <xf numFmtId="49" fontId="0" fillId="0" borderId="0" xfId="0" applyNumberFormat="1"/>
    <xf numFmtId="49" fontId="0" fillId="0" borderId="9" xfId="0" applyNumberFormat="1" applyBorder="1" applyAlignment="1">
      <alignment horizontal="center"/>
    </xf>
    <xf numFmtId="49" fontId="0" fillId="0" borderId="44" xfId="0" applyNumberFormat="1" applyBorder="1" applyAlignment="1">
      <alignment horizontal="left"/>
    </xf>
    <xf numFmtId="0" fontId="0" fillId="0" borderId="0" xfId="0" applyAlignment="1">
      <alignment horizontal="left"/>
    </xf>
    <xf numFmtId="0" fontId="0" fillId="0" borderId="43" xfId="0" applyBorder="1" applyAlignment="1">
      <alignment horizontal="left"/>
    </xf>
    <xf numFmtId="49" fontId="0" fillId="0" borderId="10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2" fontId="32" fillId="2" borderId="4" xfId="0" applyNumberFormat="1" applyFont="1" applyFill="1" applyBorder="1" applyAlignment="1" applyProtection="1">
      <alignment horizontal="center" vertical="center" wrapText="1"/>
      <protection hidden="1"/>
    </xf>
    <xf numFmtId="2" fontId="32" fillId="2" borderId="14" xfId="0" applyNumberFormat="1" applyFont="1" applyFill="1" applyBorder="1" applyAlignment="1" applyProtection="1">
      <alignment horizontal="center" vertical="center" wrapText="1"/>
      <protection hidden="1"/>
    </xf>
    <xf numFmtId="2" fontId="32" fillId="2" borderId="15" xfId="0" applyNumberFormat="1" applyFont="1" applyFill="1" applyBorder="1" applyAlignment="1" applyProtection="1">
      <alignment horizontal="center" vertical="center" wrapText="1"/>
      <protection hidden="1"/>
    </xf>
    <xf numFmtId="2" fontId="15" fillId="4" borderId="4" xfId="0" applyNumberFormat="1" applyFont="1" applyFill="1" applyBorder="1" applyAlignment="1" applyProtection="1">
      <alignment horizontal="center" vertical="center" wrapText="1"/>
      <protection hidden="1"/>
    </xf>
    <xf numFmtId="2" fontId="15" fillId="4" borderId="14" xfId="0" applyNumberFormat="1" applyFont="1" applyFill="1" applyBorder="1" applyAlignment="1" applyProtection="1">
      <alignment horizontal="center" vertical="center" wrapText="1"/>
      <protection hidden="1"/>
    </xf>
    <xf numFmtId="2" fontId="15" fillId="4" borderId="15" xfId="0" applyNumberFormat="1" applyFont="1" applyFill="1" applyBorder="1" applyAlignment="1" applyProtection="1">
      <alignment horizontal="center" vertical="center" wrapText="1"/>
      <protection hidden="1"/>
    </xf>
    <xf numFmtId="0" fontId="33" fillId="0" borderId="4" xfId="0" applyFont="1" applyBorder="1" applyAlignment="1" applyProtection="1">
      <alignment horizontal="center" vertical="center" wrapText="1"/>
      <protection hidden="1"/>
    </xf>
    <xf numFmtId="0" fontId="33" fillId="0" borderId="14" xfId="0" applyFont="1" applyBorder="1" applyAlignment="1" applyProtection="1">
      <alignment horizontal="center" vertical="center" wrapText="1"/>
      <protection hidden="1"/>
    </xf>
    <xf numFmtId="0" fontId="33" fillId="0" borderId="15" xfId="0" applyFont="1" applyBorder="1" applyAlignment="1" applyProtection="1">
      <alignment horizontal="center" vertical="center" wrapText="1"/>
      <protection hidden="1"/>
    </xf>
    <xf numFmtId="0" fontId="34" fillId="0" borderId="4" xfId="2" applyFont="1" applyBorder="1" applyAlignment="1" applyProtection="1">
      <alignment horizontal="center" vertical="top" wrapText="1"/>
      <protection hidden="1"/>
    </xf>
    <xf numFmtId="0" fontId="34" fillId="0" borderId="14" xfId="2" applyFont="1" applyBorder="1" applyAlignment="1" applyProtection="1">
      <alignment horizontal="center" vertical="top" wrapText="1"/>
      <protection hidden="1"/>
    </xf>
    <xf numFmtId="0" fontId="34" fillId="0" borderId="15" xfId="2" applyFont="1" applyBorder="1" applyAlignment="1" applyProtection="1">
      <alignment horizontal="center" vertical="top" wrapText="1"/>
      <protection hidden="1"/>
    </xf>
    <xf numFmtId="171" fontId="30" fillId="2" borderId="5" xfId="1" applyNumberFormat="1" applyFont="1" applyFill="1" applyBorder="1" applyAlignment="1" applyProtection="1">
      <alignment horizontal="left" vertical="center"/>
      <protection locked="0" hidden="1"/>
    </xf>
    <xf numFmtId="171" fontId="30" fillId="2" borderId="6" xfId="1" applyNumberFormat="1" applyFont="1" applyFill="1" applyBorder="1" applyAlignment="1" applyProtection="1">
      <alignment horizontal="left" vertical="center"/>
      <protection locked="0" hidden="1"/>
    </xf>
    <xf numFmtId="171" fontId="30" fillId="2" borderId="31" xfId="1" applyNumberFormat="1" applyFont="1" applyFill="1" applyBorder="1" applyAlignment="1" applyProtection="1">
      <alignment horizontal="left" vertical="center"/>
      <protection locked="0" hidden="1"/>
    </xf>
    <xf numFmtId="168" fontId="39" fillId="2" borderId="39" xfId="1" applyNumberFormat="1" applyFont="1" applyFill="1" applyBorder="1" applyAlignment="1" applyProtection="1">
      <alignment horizontal="center" vertical="center" wrapText="1"/>
      <protection locked="0"/>
    </xf>
    <xf numFmtId="168" fontId="39" fillId="2" borderId="40" xfId="1" applyNumberFormat="1" applyFont="1" applyFill="1" applyBorder="1" applyAlignment="1" applyProtection="1">
      <alignment horizontal="center" vertical="center" wrapText="1"/>
      <protection locked="0"/>
    </xf>
    <xf numFmtId="0" fontId="30" fillId="2" borderId="34" xfId="0" applyFont="1" applyFill="1" applyBorder="1" applyAlignment="1" applyProtection="1">
      <alignment horizontal="left" vertical="center"/>
      <protection locked="0"/>
    </xf>
    <xf numFmtId="0" fontId="30" fillId="2" borderId="26" xfId="0" applyFont="1" applyFill="1" applyBorder="1" applyAlignment="1" applyProtection="1">
      <alignment horizontal="left" vertical="center"/>
      <protection locked="0"/>
    </xf>
    <xf numFmtId="0" fontId="30" fillId="2" borderId="27" xfId="0" applyFont="1" applyFill="1" applyBorder="1" applyAlignment="1" applyProtection="1">
      <alignment horizontal="left" vertical="center"/>
      <protection locked="0"/>
    </xf>
    <xf numFmtId="0" fontId="30" fillId="2" borderId="4" xfId="0" applyFont="1" applyFill="1" applyBorder="1" applyAlignment="1" applyProtection="1">
      <alignment horizontal="left" vertical="center"/>
      <protection locked="0"/>
    </xf>
    <xf numFmtId="0" fontId="30" fillId="2" borderId="14" xfId="0" applyFont="1" applyFill="1" applyBorder="1" applyAlignment="1" applyProtection="1">
      <alignment horizontal="left" vertical="center"/>
      <protection locked="0"/>
    </xf>
    <xf numFmtId="0" fontId="30" fillId="2" borderId="35" xfId="0" applyFont="1" applyFill="1" applyBorder="1" applyAlignment="1" applyProtection="1">
      <alignment horizontal="left" vertical="center"/>
      <protection locked="0"/>
    </xf>
    <xf numFmtId="0" fontId="30" fillId="2" borderId="36" xfId="0" applyFont="1" applyFill="1" applyBorder="1" applyAlignment="1" applyProtection="1">
      <alignment horizontal="left" vertical="center"/>
      <protection locked="0"/>
    </xf>
    <xf numFmtId="0" fontId="30" fillId="2" borderId="28" xfId="0" applyFont="1" applyFill="1" applyBorder="1" applyAlignment="1" applyProtection="1">
      <alignment horizontal="left" vertical="center"/>
      <protection locked="0"/>
    </xf>
    <xf numFmtId="0" fontId="30" fillId="2" borderId="29" xfId="0" applyFont="1" applyFill="1" applyBorder="1" applyAlignment="1" applyProtection="1">
      <alignment horizontal="left" vertical="center"/>
      <protection locked="0"/>
    </xf>
    <xf numFmtId="171" fontId="30" fillId="2" borderId="33" xfId="1" applyNumberFormat="1" applyFont="1" applyFill="1" applyBorder="1" applyAlignment="1" applyProtection="1">
      <alignment horizontal="left" vertical="center"/>
      <protection locked="0" hidden="1"/>
    </xf>
    <xf numFmtId="171" fontId="30" fillId="2" borderId="18" xfId="1" applyNumberFormat="1" applyFont="1" applyFill="1" applyBorder="1" applyAlignment="1" applyProtection="1">
      <alignment horizontal="left" vertical="center"/>
      <protection locked="0" hidden="1"/>
    </xf>
    <xf numFmtId="171" fontId="30" fillId="2" borderId="19" xfId="1" applyNumberFormat="1" applyFont="1" applyFill="1" applyBorder="1" applyAlignment="1" applyProtection="1">
      <alignment horizontal="left" vertical="center"/>
      <protection locked="0" hidden="1"/>
    </xf>
    <xf numFmtId="0" fontId="20" fillId="0" borderId="1" xfId="0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30" fillId="2" borderId="37" xfId="0" applyFont="1" applyFill="1" applyBorder="1" applyAlignment="1" applyProtection="1">
      <alignment horizontal="left" vertical="center"/>
      <protection locked="0"/>
    </xf>
    <xf numFmtId="0" fontId="30" fillId="2" borderId="38" xfId="0" applyFont="1" applyFill="1" applyBorder="1" applyAlignment="1" applyProtection="1">
      <alignment horizontal="left" vertical="center"/>
      <protection locked="0"/>
    </xf>
    <xf numFmtId="0" fontId="41" fillId="2" borderId="13" xfId="0" applyFont="1" applyFill="1" applyBorder="1" applyAlignment="1" applyProtection="1">
      <alignment horizontal="left" vertical="center"/>
      <protection locked="0"/>
    </xf>
    <xf numFmtId="0" fontId="41" fillId="2" borderId="42" xfId="0" applyFont="1" applyFill="1" applyBorder="1" applyAlignment="1" applyProtection="1">
      <alignment horizontal="left" vertical="center"/>
      <protection locked="0"/>
    </xf>
    <xf numFmtId="14" fontId="30" fillId="2" borderId="33" xfId="0" applyNumberFormat="1" applyFont="1" applyFill="1" applyBorder="1" applyAlignment="1" applyProtection="1">
      <alignment horizontal="left" vertical="center"/>
      <protection locked="0" hidden="1"/>
    </xf>
    <xf numFmtId="14" fontId="30" fillId="2" borderId="18" xfId="0" applyNumberFormat="1" applyFont="1" applyFill="1" applyBorder="1" applyAlignment="1" applyProtection="1">
      <alignment horizontal="left" vertical="center"/>
      <protection locked="0" hidden="1"/>
    </xf>
    <xf numFmtId="14" fontId="30" fillId="2" borderId="19" xfId="0" applyNumberFormat="1" applyFont="1" applyFill="1" applyBorder="1" applyAlignment="1" applyProtection="1">
      <alignment horizontal="left" vertical="center"/>
      <protection locked="0" hidden="1"/>
    </xf>
    <xf numFmtId="14" fontId="30" fillId="2" borderId="22" xfId="0" applyNumberFormat="1" applyFont="1" applyFill="1" applyBorder="1" applyAlignment="1" applyProtection="1">
      <alignment horizontal="left" vertical="center"/>
      <protection locked="0" hidden="1"/>
    </xf>
    <xf numFmtId="14" fontId="30" fillId="2" borderId="30" xfId="0" applyNumberFormat="1" applyFont="1" applyFill="1" applyBorder="1" applyAlignment="1" applyProtection="1">
      <alignment horizontal="left" vertical="center"/>
      <protection locked="0" hidden="1"/>
    </xf>
    <xf numFmtId="14" fontId="30" fillId="2" borderId="23" xfId="0" applyNumberFormat="1" applyFont="1" applyFill="1" applyBorder="1" applyAlignment="1" applyProtection="1">
      <alignment horizontal="left" vertical="center"/>
      <protection locked="0" hidden="1"/>
    </xf>
    <xf numFmtId="14" fontId="30" fillId="2" borderId="34" xfId="0" applyNumberFormat="1" applyFont="1" applyFill="1" applyBorder="1" applyAlignment="1" applyProtection="1">
      <alignment horizontal="left" vertical="center"/>
      <protection locked="0" hidden="1"/>
    </xf>
    <xf numFmtId="14" fontId="30" fillId="2" borderId="26" xfId="0" applyNumberFormat="1" applyFont="1" applyFill="1" applyBorder="1" applyAlignment="1" applyProtection="1">
      <alignment horizontal="left" vertical="center"/>
      <protection locked="0" hidden="1"/>
    </xf>
    <xf numFmtId="14" fontId="30" fillId="2" borderId="27" xfId="0" applyNumberFormat="1" applyFont="1" applyFill="1" applyBorder="1" applyAlignment="1" applyProtection="1">
      <alignment horizontal="left" vertical="center"/>
      <protection locked="0" hidden="1"/>
    </xf>
    <xf numFmtId="0" fontId="17" fillId="0" borderId="24" xfId="0" applyFont="1" applyBorder="1" applyAlignment="1" applyProtection="1">
      <alignment horizontal="left" vertical="center"/>
      <protection hidden="1"/>
    </xf>
    <xf numFmtId="0" fontId="17" fillId="0" borderId="3" xfId="0" applyFont="1" applyBorder="1" applyAlignment="1" applyProtection="1">
      <alignment horizontal="left" vertical="center"/>
      <protection hidden="1"/>
    </xf>
    <xf numFmtId="0" fontId="17" fillId="0" borderId="25" xfId="0" applyFont="1" applyBorder="1" applyAlignment="1" applyProtection="1">
      <alignment horizontal="left" vertical="center"/>
      <protection hidden="1"/>
    </xf>
    <xf numFmtId="0" fontId="17" fillId="0" borderId="23" xfId="0" applyFont="1" applyBorder="1" applyAlignment="1" applyProtection="1">
      <alignment horizontal="left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168" fontId="30" fillId="2" borderId="5" xfId="1" applyNumberFormat="1" applyFont="1" applyFill="1" applyBorder="1" applyAlignment="1" applyProtection="1">
      <alignment horizontal="left" vertical="top"/>
      <protection locked="0" hidden="1"/>
    </xf>
    <xf numFmtId="168" fontId="30" fillId="2" borderId="6" xfId="1" applyNumberFormat="1" applyFont="1" applyFill="1" applyBorder="1" applyAlignment="1" applyProtection="1">
      <alignment horizontal="left" vertical="top"/>
      <protection locked="0" hidden="1"/>
    </xf>
    <xf numFmtId="168" fontId="30" fillId="2" borderId="31" xfId="1" applyNumberFormat="1" applyFont="1" applyFill="1" applyBorder="1" applyAlignment="1" applyProtection="1">
      <alignment horizontal="left" vertical="top"/>
      <protection locked="0" hidden="1"/>
    </xf>
    <xf numFmtId="168" fontId="30" fillId="2" borderId="22" xfId="1" applyNumberFormat="1" applyFont="1" applyFill="1" applyBorder="1" applyAlignment="1" applyProtection="1">
      <alignment horizontal="left" vertical="top"/>
      <protection locked="0" hidden="1"/>
    </xf>
    <xf numFmtId="168" fontId="30" fillId="2" borderId="30" xfId="1" applyNumberFormat="1" applyFont="1" applyFill="1" applyBorder="1" applyAlignment="1" applyProtection="1">
      <alignment horizontal="left" vertical="top"/>
      <protection locked="0" hidden="1"/>
    </xf>
    <xf numFmtId="168" fontId="30" fillId="2" borderId="23" xfId="1" applyNumberFormat="1" applyFont="1" applyFill="1" applyBorder="1" applyAlignment="1" applyProtection="1">
      <alignment horizontal="left" vertical="top"/>
      <protection locked="0" hidden="1"/>
    </xf>
    <xf numFmtId="0" fontId="31" fillId="0" borderId="17" xfId="0" applyFont="1" applyBorder="1" applyAlignment="1" applyProtection="1">
      <alignment horizontal="left" vertical="center" wrapText="1"/>
      <protection hidden="1"/>
    </xf>
    <xf numFmtId="0" fontId="31" fillId="0" borderId="24" xfId="0" applyFont="1" applyBorder="1" applyAlignment="1" applyProtection="1">
      <alignment horizontal="left" vertical="center" wrapText="1"/>
      <protection hidden="1"/>
    </xf>
    <xf numFmtId="0" fontId="15" fillId="0" borderId="24" xfId="0" applyFont="1" applyBorder="1" applyAlignment="1" applyProtection="1">
      <alignment horizontal="center" vertical="center"/>
      <protection hidden="1"/>
    </xf>
    <xf numFmtId="0" fontId="15" fillId="0" borderId="3" xfId="0" applyFont="1" applyBorder="1" applyAlignment="1" applyProtection="1">
      <alignment horizontal="center" vertical="center"/>
      <protection hidden="1"/>
    </xf>
    <xf numFmtId="14" fontId="30" fillId="2" borderId="36" xfId="0" applyNumberFormat="1" applyFont="1" applyFill="1" applyBorder="1" applyAlignment="1" applyProtection="1">
      <alignment horizontal="left" vertical="center"/>
      <protection locked="0" hidden="1"/>
    </xf>
    <xf numFmtId="14" fontId="30" fillId="2" borderId="28" xfId="0" applyNumberFormat="1" applyFont="1" applyFill="1" applyBorder="1" applyAlignment="1" applyProtection="1">
      <alignment horizontal="left" vertical="center"/>
      <protection locked="0" hidden="1"/>
    </xf>
    <xf numFmtId="14" fontId="30" fillId="2" borderId="29" xfId="0" applyNumberFormat="1" applyFont="1" applyFill="1" applyBorder="1" applyAlignment="1" applyProtection="1">
      <alignment horizontal="left" vertical="center"/>
      <protection locked="0" hidden="1"/>
    </xf>
    <xf numFmtId="0" fontId="40" fillId="0" borderId="18" xfId="0" applyFont="1" applyBorder="1" applyAlignment="1" applyProtection="1">
      <alignment horizontal="center" vertical="center" wrapText="1"/>
      <protection hidden="1"/>
    </xf>
    <xf numFmtId="0" fontId="40" fillId="0" borderId="19" xfId="0" applyFont="1" applyBorder="1" applyAlignment="1" applyProtection="1">
      <alignment horizontal="center" vertical="center" wrapText="1"/>
      <protection hidden="1"/>
    </xf>
    <xf numFmtId="0" fontId="40" fillId="0" borderId="0" xfId="0" applyFont="1" applyAlignment="1" applyProtection="1">
      <alignment horizontal="center" vertical="center" wrapText="1"/>
      <protection hidden="1"/>
    </xf>
    <xf numFmtId="0" fontId="40" fillId="0" borderId="3" xfId="0" applyFont="1" applyBorder="1" applyAlignment="1" applyProtection="1">
      <alignment horizontal="center" vertical="center" wrapText="1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left" vertical="center" wrapText="1"/>
      <protection hidden="1"/>
    </xf>
    <xf numFmtId="0" fontId="0" fillId="0" borderId="24" xfId="0" applyBorder="1" applyAlignment="1" applyProtection="1">
      <alignment horizontal="left" vertical="center" wrapText="1"/>
      <protection hidden="1"/>
    </xf>
    <xf numFmtId="0" fontId="0" fillId="0" borderId="25" xfId="0" applyBorder="1" applyAlignment="1" applyProtection="1">
      <alignment horizontal="left" vertical="center" wrapText="1"/>
      <protection hidden="1"/>
    </xf>
    <xf numFmtId="0" fontId="35" fillId="3" borderId="1" xfId="2" applyFont="1" applyFill="1" applyBorder="1" applyAlignment="1" applyProtection="1">
      <alignment horizontal="center" vertical="center"/>
      <protection hidden="1"/>
    </xf>
    <xf numFmtId="0" fontId="36" fillId="3" borderId="1" xfId="0" applyFont="1" applyFill="1" applyBorder="1" applyAlignment="1" applyProtection="1">
      <alignment horizontal="center" vertical="center"/>
      <protection hidden="1"/>
    </xf>
    <xf numFmtId="0" fontId="36" fillId="3" borderId="13" xfId="0" applyFont="1" applyFill="1" applyBorder="1" applyAlignment="1" applyProtection="1">
      <alignment horizontal="center" vertical="center"/>
      <protection hidden="1"/>
    </xf>
    <xf numFmtId="0" fontId="33" fillId="3" borderId="1" xfId="0" applyFont="1" applyFill="1" applyBorder="1" applyAlignment="1" applyProtection="1">
      <alignment horizontal="center" vertical="center"/>
      <protection hidden="1"/>
    </xf>
    <xf numFmtId="0" fontId="37" fillId="5" borderId="1" xfId="2" applyFont="1" applyFill="1" applyBorder="1" applyAlignment="1" applyProtection="1">
      <alignment horizontal="center" vertical="top" wrapText="1"/>
      <protection hidden="1"/>
    </xf>
    <xf numFmtId="0" fontId="23" fillId="0" borderId="1" xfId="0" applyFont="1" applyBorder="1" applyAlignment="1" applyProtection="1">
      <alignment horizontal="center"/>
      <protection hidden="1"/>
    </xf>
    <xf numFmtId="0" fontId="24" fillId="0" borderId="1" xfId="0" applyFont="1" applyBorder="1" applyAlignment="1" applyProtection="1">
      <alignment horizontal="center"/>
      <protection hidden="1"/>
    </xf>
    <xf numFmtId="0" fontId="27" fillId="0" borderId="1" xfId="0" applyFont="1" applyBorder="1" applyAlignment="1" applyProtection="1">
      <alignment horizontal="center"/>
      <protection hidden="1"/>
    </xf>
    <xf numFmtId="2" fontId="20" fillId="0" borderId="0" xfId="0" applyNumberFormat="1" applyFont="1" applyAlignment="1" applyProtection="1">
      <alignment horizontal="center"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</cellXfs>
  <cellStyles count="6">
    <cellStyle name="Comma" xfId="1" builtinId="3"/>
    <cellStyle name="Hyperlink" xfId="2" builtinId="8"/>
    <cellStyle name="Normal" xfId="0" builtinId="0"/>
    <cellStyle name="Percent" xfId="3" builtinId="5"/>
    <cellStyle name="Standard 2" xfId="5" xr:uid="{00000000-0005-0000-0000-000004000000}"/>
    <cellStyle name="Standard 3" xfId="4" xr:uid="{00000000-0005-0000-0000-000005000000}"/>
  </cellStyles>
  <dxfs count="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patternFill patternType="solid">
          <bgColor theme="4" tint="0.79998168889431442"/>
        </patternFill>
      </fill>
    </dxf>
    <dxf>
      <font>
        <b/>
        <i val="0"/>
        <color rgb="FFFF0000"/>
      </font>
      <fill>
        <patternFill patternType="solid">
          <bgColor theme="4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Stichprobe chronologisch /</a:t>
            </a:r>
            <a:r>
              <a:rPr lang="de-DE" baseline="0"/>
              <a:t> timed scope of sample</a:t>
            </a:r>
            <a:endParaRPr lang="de-DE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208407380599091"/>
          <c:y val="0.17054426503538456"/>
          <c:w val="0.68291839162983714"/>
          <c:h val="0.65207297840482292"/>
        </c:manualLayout>
      </c:layout>
      <c:scatterChart>
        <c:scatterStyle val="lineMarker"/>
        <c:varyColors val="0"/>
        <c:ser>
          <c:idx val="1"/>
          <c:order val="0"/>
          <c:tx>
            <c:strRef>
              <c:f>Berechnung!$AG$4</c:f>
              <c:strCache>
                <c:ptCount val="1"/>
                <c:pt idx="0">
                  <c:v>OGW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Berechnung!$AE$5:$AE$204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Berechnung!$AG$5:$AG$204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7-47C3-A447-1A8B62275BED}"/>
            </c:ext>
          </c:extLst>
        </c:ser>
        <c:ser>
          <c:idx val="9"/>
          <c:order val="1"/>
          <c:tx>
            <c:strRef>
              <c:f>Berechnung!$AN$4</c:f>
              <c:strCache>
                <c:ptCount val="1"/>
                <c:pt idx="0">
                  <c:v>+ 6  Sigma</c:v>
                </c:pt>
              </c:strCache>
            </c:strRef>
          </c:tx>
          <c:spPr>
            <a:ln w="3810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Berechnung!$AE$5:$AE$204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Berechnung!$AN$5:$AN$204</c:f>
              <c:numCache>
                <c:formatCode>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D7-47C3-A447-1A8B62275BED}"/>
            </c:ext>
          </c:extLst>
        </c:ser>
        <c:ser>
          <c:idx val="5"/>
          <c:order val="2"/>
          <c:tx>
            <c:strRef>
              <c:f>Berechnung!$P$15</c:f>
              <c:strCache>
                <c:ptCount val="1"/>
                <c:pt idx="0">
                  <c:v>Gewicht / weight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Berechnung!$AE$5:$AE$204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Berechnung!$AF$5:$AF$204</c:f>
              <c:numCache>
                <c:formatCode>General</c:formatCode>
                <c:ptCount val="20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D7-47C3-A447-1A8B62275BED}"/>
            </c:ext>
          </c:extLst>
        </c:ser>
        <c:ser>
          <c:idx val="10"/>
          <c:order val="3"/>
          <c:tx>
            <c:strRef>
              <c:f>Berechnung!$AO$4</c:f>
              <c:strCache>
                <c:ptCount val="1"/>
                <c:pt idx="0">
                  <c:v>m</c:v>
                </c:pt>
              </c:strCache>
            </c:strRef>
          </c:tx>
          <c:spPr>
            <a:ln w="3810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Berechnung!$AE$5:$AE$204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Berechnung!$AO$5:$AO$204</c:f>
              <c:numCache>
                <c:formatCode>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D7-47C3-A447-1A8B62275BED}"/>
            </c:ext>
          </c:extLst>
        </c:ser>
        <c:ser>
          <c:idx val="8"/>
          <c:order val="4"/>
          <c:tx>
            <c:strRef>
              <c:f>Berechnung!$AM$4</c:f>
              <c:strCache>
                <c:ptCount val="1"/>
                <c:pt idx="0">
                  <c:v>- 6  Sigma</c:v>
                </c:pt>
              </c:strCache>
            </c:strRef>
          </c:tx>
          <c:spPr>
            <a:ln w="3810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Berechnung!$AE$5:$AE$204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Berechnung!$AM$5:$AM$204</c:f>
              <c:numCache>
                <c:formatCode>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D7-47C3-A447-1A8B62275BED}"/>
            </c:ext>
          </c:extLst>
        </c:ser>
        <c:ser>
          <c:idx val="4"/>
          <c:order val="5"/>
          <c:tx>
            <c:strRef>
              <c:f>Berechnung!$AH$4</c:f>
              <c:strCache>
                <c:ptCount val="1"/>
                <c:pt idx="0">
                  <c:v>UGW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Berechnung!$AE$5:$AE$204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Berechnung!$AH$5:$AH$204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D7-47C3-A447-1A8B62275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42176"/>
        <c:axId val="100244096"/>
      </c:scatterChart>
      <c:valAx>
        <c:axId val="100242176"/>
        <c:scaling>
          <c:orientation val="minMax"/>
          <c:min val="0"/>
        </c:scaling>
        <c:delete val="0"/>
        <c:axPos val="b"/>
        <c:title>
          <c:tx>
            <c:strRef>
              <c:f>'Eingabe und Diagramm'!$B$4</c:f>
              <c:strCache>
                <c:ptCount val="1"/>
                <c:pt idx="0">
                  <c:v>i</c:v>
                </c:pt>
              </c:strCache>
            </c:strRef>
          </c:tx>
          <c:overlay val="0"/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0" sourceLinked="0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244096"/>
        <c:crosses val="autoZero"/>
        <c:crossBetween val="midCat"/>
      </c:valAx>
      <c:valAx>
        <c:axId val="100244096"/>
        <c:scaling>
          <c:orientation val="minMax"/>
        </c:scaling>
        <c:delete val="0"/>
        <c:axPos val="l"/>
        <c:majorGridlines/>
        <c:minorGridlines/>
        <c:title>
          <c:tx>
            <c:strRef>
              <c:f>'Eingabe und Diagramm'!$P$12</c:f>
              <c:strCache>
                <c:ptCount val="1"/>
                <c:pt idx="0">
                  <c:v>[g]</c:v>
                </c:pt>
              </c:strCache>
            </c:strRef>
          </c:tx>
          <c:overlay val="0"/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0.00" sourceLinked="0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242176"/>
        <c:crosses val="autoZero"/>
        <c:crossBetween val="midCat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txPr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Symbol" pitchFamily="18" charset="2"/>
                <a:ea typeface="Calibri"/>
                <a:cs typeface="Calibri"/>
              </a:defRPr>
            </a:pPr>
            <a:endParaRPr lang="en-US"/>
          </a:p>
        </c:txPr>
      </c:legendEntry>
      <c:layout>
        <c:manualLayout>
          <c:xMode val="edge"/>
          <c:yMode val="edge"/>
          <c:x val="0.8409439052676555"/>
          <c:y val="0.17551967620209091"/>
          <c:w val="0.15449539156443248"/>
          <c:h val="0.63279514303136364"/>
        </c:manualLayout>
      </c:layout>
      <c:overlay val="0"/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mpd="sng">
      <a:solidFill>
        <a:schemeClr val="tx1"/>
      </a:solidFill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333" footer="0.4921259845000033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Histogramm / histogram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947369451952834"/>
          <c:y val="0.161202214992587"/>
          <c:w val="0.78598184443261299"/>
          <c:h val="0.70984978809749832"/>
        </c:manualLayout>
      </c:layout>
      <c:scatterChart>
        <c:scatterStyle val="smoothMarker"/>
        <c:varyColors val="0"/>
        <c:ser>
          <c:idx val="0"/>
          <c:order val="0"/>
          <c:tx>
            <c:v>Untere Grenze</c:v>
          </c:tx>
          <c:spPr>
            <a:ln w="12700"/>
          </c:spPr>
          <c:marker>
            <c:symbol val="none"/>
          </c:marker>
          <c:xVal>
            <c:numRef>
              <c:f>Berechnung!$R$77:$R$99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xVal>
          <c:yVal>
            <c:numRef>
              <c:f>Berechnung!$S$77:$S$99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1-4BEF-9368-A9AD5C57A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2544"/>
        <c:axId val="151852544"/>
      </c:scatterChart>
      <c:scatterChart>
        <c:scatterStyle val="lineMarker"/>
        <c:varyColors val="0"/>
        <c:ser>
          <c:idx val="1"/>
          <c:order val="1"/>
          <c:tx>
            <c:strRef>
              <c:f>Berechnung!$Y$63</c:f>
              <c:strCache>
                <c:ptCount val="1"/>
                <c:pt idx="0">
                  <c:v>h(x)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errBars>
            <c:errDir val="x"/>
            <c:errBarType val="plus"/>
            <c:errValType val="cust"/>
            <c:noEndCap val="1"/>
            <c:plus>
              <c:numRef>
                <c:f>Berechnung!$T$64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plus>
            <c:spPr>
              <a:ln w="12700">
                <a:solidFill>
                  <a:srgbClr val="0000FF"/>
                </a:solidFill>
                <a:prstDash val="solid"/>
              </a:ln>
            </c:spPr>
          </c:errBars>
          <c:errBars>
            <c:errDir val="y"/>
            <c:errBarType val="minus"/>
            <c:errValType val="cust"/>
            <c:noEndCap val="1"/>
            <c:minus>
              <c:numRef>
                <c:f>Berechnung!$Y$64:$Y$74</c:f>
                <c:numCache>
                  <c:formatCode>General</c:formatCode>
                  <c:ptCount val="1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</c:numCache>
              </c:numRef>
            </c:minus>
            <c:spPr>
              <a:ln w="127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Berechnung!$Q$64:$Q$74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Berechnung!$Y$64:$Y$74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31-4BEF-9368-A9AD5C57A2F4}"/>
            </c:ext>
          </c:extLst>
        </c:ser>
        <c:ser>
          <c:idx val="2"/>
          <c:order val="2"/>
          <c:tx>
            <c:v>Oben</c:v>
          </c:tx>
          <c:spPr>
            <a:ln w="28575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Berechnung!$Y$64:$Y$74</c:f>
                <c:numCache>
                  <c:formatCode>General</c:formatCode>
                  <c:ptCount val="1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</c:numCache>
              </c:numRef>
            </c:minus>
            <c:spPr>
              <a:ln w="127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Berechnung!$R$64:$R$74</c:f>
              <c:numCache>
                <c:formatCode>0.000</c:formatCode>
                <c:ptCount val="11"/>
                <c:pt idx="0">
                  <c:v>-9.9999999999999995E-8</c:v>
                </c:pt>
                <c:pt idx="1">
                  <c:v>-9.9999999999999995E-8</c:v>
                </c:pt>
                <c:pt idx="2">
                  <c:v>-9.9999999999999995E-8</c:v>
                </c:pt>
                <c:pt idx="3">
                  <c:v>-9.9999999999999995E-8</c:v>
                </c:pt>
                <c:pt idx="4">
                  <c:v>-9.9999999999999995E-8</c:v>
                </c:pt>
                <c:pt idx="5">
                  <c:v>-9.9999999999999995E-8</c:v>
                </c:pt>
                <c:pt idx="6">
                  <c:v>-9.9999999999999995E-8</c:v>
                </c:pt>
                <c:pt idx="7">
                  <c:v>-9.9999999999999995E-8</c:v>
                </c:pt>
                <c:pt idx="8">
                  <c:v>-9.9999999999999995E-8</c:v>
                </c:pt>
                <c:pt idx="9">
                  <c:v>9.9999999999999995E-7</c:v>
                </c:pt>
                <c:pt idx="10">
                  <c:v>0</c:v>
                </c:pt>
              </c:numCache>
            </c:numRef>
          </c:xVal>
          <c:yVal>
            <c:numRef>
              <c:f>Berechnung!$Y$64:$Y$74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31-4BEF-9368-A9AD5C57A2F4}"/>
            </c:ext>
          </c:extLst>
        </c:ser>
        <c:ser>
          <c:idx val="3"/>
          <c:order val="3"/>
          <c:tx>
            <c:v>OGW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minus"/>
            <c:errValType val="cust"/>
            <c:noEndCap val="1"/>
            <c:minus>
              <c:numRef>
                <c:f>Berechnung!$W$77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Berechnung!$V$77</c:f>
              <c:numCache>
                <c:formatCode>#,##0.0000_ ;\-#,##0.0000\ </c:formatCode>
                <c:ptCount val="1"/>
                <c:pt idx="0">
                  <c:v>0</c:v>
                </c:pt>
              </c:numCache>
            </c:numRef>
          </c:xVal>
          <c:yVal>
            <c:numRef>
              <c:f>Berechnung!$W$77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31-4BEF-9368-A9AD5C57A2F4}"/>
            </c:ext>
          </c:extLst>
        </c:ser>
        <c:ser>
          <c:idx val="4"/>
          <c:order val="4"/>
          <c:tx>
            <c:v>UGW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minus"/>
            <c:errValType val="cust"/>
            <c:noEndCap val="1"/>
            <c:minus>
              <c:numRef>
                <c:f>Berechnung!$W$78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Berechnung!$V$78</c:f>
              <c:numCache>
                <c:formatCode>#,##0.0000_ ;\-#,##0.0000\ </c:formatCode>
                <c:ptCount val="1"/>
                <c:pt idx="0">
                  <c:v>0</c:v>
                </c:pt>
              </c:numCache>
            </c:numRef>
          </c:xVal>
          <c:yVal>
            <c:numRef>
              <c:f>Berechnung!$W$78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31-4BEF-9368-A9AD5C57A2F4}"/>
            </c:ext>
          </c:extLst>
        </c:ser>
        <c:ser>
          <c:idx val="5"/>
          <c:order val="5"/>
          <c:tx>
            <c:strRef>
              <c:f>Berechnung!$U$79</c:f>
              <c:strCache>
                <c:ptCount val="1"/>
                <c:pt idx="0">
                  <c:v>+ 6 Sigma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minus"/>
            <c:errValType val="cust"/>
            <c:noEndCap val="1"/>
            <c:minus>
              <c:numRef>
                <c:f>Berechnung!$W$79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3366FF"/>
                </a:solidFill>
                <a:prstDash val="sysDash"/>
              </a:ln>
            </c:spPr>
          </c:errBars>
          <c:xVal>
            <c:numRef>
              <c:f>Berechnung!$V$79</c:f>
              <c:numCache>
                <c:formatCode>#,##0.0000_ ;\-#,##0.0000\ </c:formatCode>
                <c:ptCount val="1"/>
                <c:pt idx="0">
                  <c:v>0</c:v>
                </c:pt>
              </c:numCache>
            </c:numRef>
          </c:xVal>
          <c:yVal>
            <c:numRef>
              <c:f>Berechnung!$W$79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31-4BEF-9368-A9AD5C57A2F4}"/>
            </c:ext>
          </c:extLst>
        </c:ser>
        <c:ser>
          <c:idx val="6"/>
          <c:order val="6"/>
          <c:tx>
            <c:strRef>
              <c:f>Berechnung!$U$80</c:f>
              <c:strCache>
                <c:ptCount val="1"/>
                <c:pt idx="0">
                  <c:v>- 6 Sigma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minus"/>
            <c:errValType val="cust"/>
            <c:noEndCap val="1"/>
            <c:minus>
              <c:numRef>
                <c:f>Berechnung!$W$80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3366FF"/>
                </a:solidFill>
                <a:prstDash val="sysDash"/>
              </a:ln>
            </c:spPr>
          </c:errBars>
          <c:xVal>
            <c:numRef>
              <c:f>Berechnung!$V$80</c:f>
              <c:numCache>
                <c:formatCode>#,##0.0000_ ;\-#,##0.0000\ </c:formatCode>
                <c:ptCount val="1"/>
                <c:pt idx="0">
                  <c:v>0</c:v>
                </c:pt>
              </c:numCache>
            </c:numRef>
          </c:xVal>
          <c:yVal>
            <c:numRef>
              <c:f>Berechnung!$W$80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31-4BEF-9368-A9AD5C57A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2544"/>
        <c:axId val="151852544"/>
      </c:scatterChart>
      <c:valAx>
        <c:axId val="151772544"/>
        <c:scaling>
          <c:orientation val="minMax"/>
        </c:scaling>
        <c:delete val="0"/>
        <c:axPos val="b"/>
        <c:title>
          <c:tx>
            <c:strRef>
              <c:f>'Eingabe und Diagramm'!$P$12</c:f>
              <c:strCache>
                <c:ptCount val="1"/>
                <c:pt idx="0">
                  <c:v>[g]</c:v>
                </c:pt>
              </c:strCache>
            </c:strRef>
          </c:tx>
          <c:overlay val="0"/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1852544"/>
        <c:crossesAt val="0"/>
        <c:crossBetween val="midCat"/>
      </c:valAx>
      <c:valAx>
        <c:axId val="151852544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17725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 w="12700" cmpd="sng"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466725</xdr:colOff>
      <xdr:row>3</xdr:row>
      <xdr:rowOff>9525</xdr:rowOff>
    </xdr:from>
    <xdr:to>
      <xdr:col>25</xdr:col>
      <xdr:colOff>9525</xdr:colOff>
      <xdr:row>22</xdr:row>
      <xdr:rowOff>285750</xdr:rowOff>
    </xdr:to>
    <xdr:graphicFrame macro="">
      <xdr:nvGraphicFramePr>
        <xdr:cNvPr id="1818" name="Chart 6">
          <a:extLs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466725</xdr:colOff>
      <xdr:row>24</xdr:row>
      <xdr:rowOff>209550</xdr:rowOff>
    </xdr:from>
    <xdr:to>
      <xdr:col>22</xdr:col>
      <xdr:colOff>1000125</xdr:colOff>
      <xdr:row>43</xdr:row>
      <xdr:rowOff>219075</xdr:rowOff>
    </xdr:to>
    <xdr:graphicFrame macro="">
      <xdr:nvGraphicFramePr>
        <xdr:cNvPr id="1819" name="Diagramm 3">
          <a:extLs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1104900</xdr:colOff>
      <xdr:row>1</xdr:row>
      <xdr:rowOff>137679</xdr:rowOff>
    </xdr:from>
    <xdr:to>
      <xdr:col>23</xdr:col>
      <xdr:colOff>828675</xdr:colOff>
      <xdr:row>1</xdr:row>
      <xdr:rowOff>1368136</xdr:rowOff>
    </xdr:to>
    <xdr:pic>
      <xdr:nvPicPr>
        <xdr:cNvPr id="1820" name="Grafik 4">
          <a:extLs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b="7063"/>
        <a:stretch>
          <a:fillRect/>
        </a:stretch>
      </xdr:blipFill>
      <xdr:spPr bwMode="auto">
        <a:xfrm>
          <a:off x="16535400" y="310861"/>
          <a:ext cx="2460048" cy="12304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95250</xdr:rowOff>
        </xdr:from>
        <xdr:to>
          <xdr:col>11</xdr:col>
          <xdr:colOff>523875</xdr:colOff>
          <xdr:row>1</xdr:row>
          <xdr:rowOff>771525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Speichern / 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61743.seu1.cleverreach.com/f/61743-125402/" TargetMode="Externa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://www.sixsigmablackbelt.de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H299"/>
  <sheetViews>
    <sheetView tabSelected="1" zoomScale="80" zoomScaleNormal="80" zoomScalePageLayoutView="40" workbookViewId="0">
      <pane xSplit="12" ySplit="2" topLeftCell="M15" activePane="bottomRight" state="frozenSplit"/>
      <selection pane="topRight" activeCell="M1" sqref="M1"/>
      <selection pane="bottomLeft" activeCell="A3" sqref="A3"/>
      <selection pane="bottomRight" activeCell="P26" sqref="P26:R26"/>
    </sheetView>
  </sheetViews>
  <sheetFormatPr defaultColWidth="11.42578125" defaultRowHeight="18.75" x14ac:dyDescent="0.3"/>
  <cols>
    <col min="1" max="1" width="2.140625" style="1" customWidth="1"/>
    <col min="2" max="2" width="5.7109375" style="1" customWidth="1"/>
    <col min="3" max="3" width="12.7109375" style="71" customWidth="1"/>
    <col min="4" max="4" width="2" style="1" customWidth="1"/>
    <col min="5" max="5" width="5.7109375" style="1" customWidth="1"/>
    <col min="6" max="6" width="12.7109375" style="71" customWidth="1"/>
    <col min="7" max="7" width="2" style="1" customWidth="1"/>
    <col min="8" max="8" width="5.7109375" style="1" customWidth="1"/>
    <col min="9" max="9" width="12.7109375" style="71" customWidth="1"/>
    <col min="10" max="10" width="1.7109375" style="1" customWidth="1"/>
    <col min="11" max="11" width="7" style="1" customWidth="1"/>
    <col min="12" max="12" width="12.7109375" style="71" customWidth="1"/>
    <col min="13" max="13" width="2.85546875" style="1" customWidth="1"/>
    <col min="14" max="14" width="32.28515625" style="1" customWidth="1"/>
    <col min="15" max="15" width="19.28515625" style="1" customWidth="1"/>
    <col min="16" max="16" width="20.7109375" style="1" customWidth="1"/>
    <col min="17" max="17" width="29.7109375" style="1" customWidth="1"/>
    <col min="18" max="18" width="23.28515625" style="1" customWidth="1"/>
    <col min="19" max="19" width="20.42578125" style="1" customWidth="1"/>
    <col min="20" max="20" width="15.42578125" style="1" customWidth="1"/>
    <col min="21" max="21" width="12.140625" style="1" customWidth="1"/>
    <col min="22" max="22" width="20.42578125" style="1" customWidth="1"/>
    <col min="23" max="25" width="20.42578125" style="72" customWidth="1"/>
    <col min="26" max="26" width="3.7109375" style="72" customWidth="1"/>
    <col min="27" max="27" width="8.42578125" style="2" customWidth="1"/>
    <col min="28" max="65" width="11.42578125" style="2"/>
    <col min="66" max="112" width="11.42578125" style="68"/>
    <col min="113" max="16384" width="11.42578125" style="1"/>
  </cols>
  <sheetData>
    <row r="1" spans="2:112" ht="12.6" customHeight="1" x14ac:dyDescent="0.3">
      <c r="M1" s="101"/>
      <c r="N1" s="102"/>
      <c r="O1" s="102"/>
      <c r="P1" s="102"/>
      <c r="Q1" s="102"/>
      <c r="R1" s="102"/>
      <c r="S1" s="102"/>
      <c r="T1" s="102"/>
      <c r="U1" s="102"/>
      <c r="V1" s="102"/>
      <c r="W1" s="103"/>
      <c r="X1" s="103"/>
      <c r="Y1" s="103"/>
      <c r="Z1" s="104"/>
    </row>
    <row r="2" spans="2:112" ht="117" customHeight="1" x14ac:dyDescent="0.5">
      <c r="B2" s="198" t="s">
        <v>162</v>
      </c>
      <c r="C2" s="199"/>
      <c r="D2" s="199"/>
      <c r="E2" s="199"/>
      <c r="F2" s="199"/>
      <c r="G2" s="200"/>
      <c r="H2" s="201" t="s">
        <v>163</v>
      </c>
      <c r="I2" s="202"/>
      <c r="J2" s="202"/>
      <c r="K2" s="202"/>
      <c r="L2" s="203"/>
      <c r="M2" s="113"/>
      <c r="N2" s="204" t="str">
        <f>IF(P30&gt;=125,"Prozessfähigkeitsuntersuchung / 
process capability analysis","Maschinenfähigkeitsuntersuchung / 
machine capability analysis")</f>
        <v>Maschinenfähigkeitsuntersuchung / 
machine capability analysis</v>
      </c>
      <c r="O2" s="205"/>
      <c r="P2" s="205"/>
      <c r="Q2" s="205"/>
      <c r="R2" s="205"/>
      <c r="S2" s="205"/>
      <c r="T2" s="206"/>
      <c r="U2" s="207"/>
      <c r="V2" s="208"/>
      <c r="W2" s="208"/>
      <c r="X2" s="208"/>
      <c r="Y2" s="209"/>
      <c r="Z2" s="105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</row>
    <row r="3" spans="2:112" ht="11.25" customHeight="1" x14ac:dyDescent="0.3">
      <c r="M3" s="106"/>
      <c r="Z3" s="105"/>
    </row>
    <row r="4" spans="2:112" s="74" customFormat="1" ht="19.5" thickBot="1" x14ac:dyDescent="0.3">
      <c r="B4" s="176" t="s">
        <v>1</v>
      </c>
      <c r="C4" s="177" t="s">
        <v>2</v>
      </c>
      <c r="D4" s="178"/>
      <c r="E4" s="176" t="s">
        <v>1</v>
      </c>
      <c r="F4" s="177" t="s">
        <v>2</v>
      </c>
      <c r="G4" s="179"/>
      <c r="H4" s="176" t="s">
        <v>1</v>
      </c>
      <c r="I4" s="177" t="s">
        <v>2</v>
      </c>
      <c r="J4" s="179"/>
      <c r="K4" s="176" t="s">
        <v>1</v>
      </c>
      <c r="L4" s="180" t="s">
        <v>2</v>
      </c>
      <c r="M4" s="107"/>
      <c r="O4" s="87"/>
      <c r="P4" s="87"/>
      <c r="Q4" s="87"/>
      <c r="R4" s="4"/>
      <c r="W4" s="75"/>
      <c r="X4" s="75"/>
      <c r="Y4" s="75"/>
      <c r="Z4" s="108"/>
      <c r="AA4" s="4"/>
      <c r="AB4" s="4"/>
      <c r="AC4" s="4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4"/>
      <c r="AQ4" s="4"/>
      <c r="AR4" s="4"/>
      <c r="AS4" s="4"/>
      <c r="AT4" s="4"/>
      <c r="AU4" s="4"/>
      <c r="AV4" s="77"/>
      <c r="AW4" s="78"/>
      <c r="AX4" s="13"/>
      <c r="AY4" s="13"/>
      <c r="AZ4" s="13"/>
      <c r="BA4" s="4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4"/>
      <c r="BM4" s="4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80"/>
      <c r="CF4" s="80"/>
      <c r="CG4" s="80"/>
      <c r="CH4" s="80"/>
      <c r="CI4" s="80"/>
      <c r="CJ4" s="80"/>
      <c r="CK4" s="80"/>
      <c r="CL4" s="80"/>
      <c r="CM4" s="80"/>
      <c r="CN4" s="80"/>
      <c r="CO4" s="80"/>
      <c r="CP4" s="80"/>
      <c r="CQ4" s="80"/>
      <c r="CR4" s="80"/>
      <c r="CS4" s="80"/>
      <c r="CT4" s="80"/>
      <c r="CU4" s="80"/>
      <c r="CV4" s="80"/>
      <c r="CW4" s="80"/>
      <c r="CX4" s="80"/>
      <c r="CY4" s="80"/>
      <c r="CZ4" s="80"/>
      <c r="DA4" s="80"/>
      <c r="DB4" s="80"/>
      <c r="DC4" s="80"/>
      <c r="DD4" s="80"/>
      <c r="DE4" s="80"/>
      <c r="DF4" s="80"/>
      <c r="DG4" s="80"/>
      <c r="DH4" s="80"/>
    </row>
    <row r="5" spans="2:112" s="74" customFormat="1" ht="23.25" x14ac:dyDescent="0.3">
      <c r="B5" s="176">
        <v>1</v>
      </c>
      <c r="C5" s="175"/>
      <c r="D5" s="178"/>
      <c r="E5" s="176">
        <v>51</v>
      </c>
      <c r="F5" s="175"/>
      <c r="G5" s="181"/>
      <c r="H5" s="182">
        <v>101</v>
      </c>
      <c r="I5" s="175"/>
      <c r="J5" s="181"/>
      <c r="K5" s="182">
        <v>151</v>
      </c>
      <c r="L5" s="175"/>
      <c r="M5" s="107"/>
      <c r="N5" s="146" t="s">
        <v>111</v>
      </c>
      <c r="O5" s="151"/>
      <c r="P5" s="215"/>
      <c r="Q5" s="216"/>
      <c r="R5" s="217"/>
      <c r="S5" s="71"/>
      <c r="W5" s="75"/>
      <c r="X5" s="75"/>
      <c r="Y5" s="75"/>
      <c r="Z5" s="108"/>
      <c r="AA5" s="4"/>
      <c r="AB5" s="4"/>
      <c r="AC5" s="4"/>
      <c r="AD5" s="4"/>
      <c r="AE5" s="4"/>
      <c r="AF5" s="4"/>
      <c r="AG5" s="4"/>
      <c r="AH5" s="4"/>
      <c r="AI5" s="81"/>
      <c r="AJ5" s="81"/>
      <c r="AK5" s="81"/>
      <c r="AL5" s="81"/>
      <c r="AM5" s="81"/>
      <c r="AN5" s="81"/>
      <c r="AO5" s="81"/>
      <c r="AP5" s="81"/>
      <c r="AQ5" s="4"/>
      <c r="AR5" s="4"/>
      <c r="AS5" s="4"/>
      <c r="AT5" s="4"/>
      <c r="AU5" s="4"/>
      <c r="AV5" s="82"/>
      <c r="AW5" s="83"/>
      <c r="AX5" s="13"/>
      <c r="AY5" s="13"/>
      <c r="AZ5" s="83"/>
      <c r="BA5" s="4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4"/>
      <c r="BM5" s="4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80"/>
      <c r="CF5" s="80"/>
      <c r="CG5" s="80"/>
      <c r="CH5" s="80"/>
      <c r="CI5" s="80"/>
      <c r="CJ5" s="80"/>
      <c r="CK5" s="80"/>
      <c r="CL5" s="80"/>
      <c r="CM5" s="80"/>
      <c r="CN5" s="80"/>
      <c r="CO5" s="80"/>
      <c r="CP5" s="80"/>
      <c r="CQ5" s="80"/>
      <c r="CR5" s="80"/>
      <c r="CS5" s="80"/>
      <c r="CT5" s="80"/>
      <c r="CU5" s="80"/>
      <c r="CV5" s="80"/>
      <c r="CW5" s="80"/>
      <c r="CX5" s="80"/>
      <c r="CY5" s="80"/>
      <c r="CZ5" s="80"/>
      <c r="DA5" s="80"/>
      <c r="DB5" s="80"/>
      <c r="DC5" s="80"/>
      <c r="DD5" s="80"/>
      <c r="DE5" s="80"/>
      <c r="DF5" s="80"/>
      <c r="DG5" s="80"/>
      <c r="DH5" s="80"/>
    </row>
    <row r="6" spans="2:112" s="74" customFormat="1" ht="23.25" x14ac:dyDescent="0.25">
      <c r="B6" s="176">
        <v>2</v>
      </c>
      <c r="C6" s="175"/>
      <c r="D6" s="178"/>
      <c r="E6" s="176">
        <v>52</v>
      </c>
      <c r="F6" s="175"/>
      <c r="G6" s="181"/>
      <c r="H6" s="182">
        <v>102</v>
      </c>
      <c r="I6" s="175"/>
      <c r="J6" s="181"/>
      <c r="K6" s="182">
        <v>152</v>
      </c>
      <c r="L6" s="175"/>
      <c r="M6" s="107"/>
      <c r="N6" s="139" t="s">
        <v>153</v>
      </c>
      <c r="O6" s="86"/>
      <c r="P6" s="218"/>
      <c r="Q6" s="219"/>
      <c r="R6" s="220"/>
      <c r="S6" s="98"/>
      <c r="T6" s="114"/>
      <c r="X6" s="75"/>
      <c r="Y6" s="75"/>
      <c r="Z6" s="108"/>
      <c r="AA6" s="4"/>
      <c r="AB6" s="4"/>
      <c r="AC6" s="4"/>
      <c r="AD6" s="4"/>
      <c r="AE6" s="4"/>
      <c r="AF6" s="4"/>
      <c r="AG6" s="4"/>
      <c r="AH6" s="4"/>
      <c r="AI6" s="81"/>
      <c r="AJ6" s="81"/>
      <c r="AK6" s="81"/>
      <c r="AL6" s="81"/>
      <c r="AM6" s="81"/>
      <c r="AN6" s="81"/>
      <c r="AO6" s="81"/>
      <c r="AP6" s="4"/>
      <c r="AQ6" s="4"/>
      <c r="AR6" s="4"/>
      <c r="AS6" s="4"/>
      <c r="AT6" s="4"/>
      <c r="AU6" s="4"/>
      <c r="AV6" s="82"/>
      <c r="AW6" s="83"/>
      <c r="AX6" s="13"/>
      <c r="AY6" s="13"/>
      <c r="AZ6" s="83"/>
      <c r="BA6" s="4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4"/>
      <c r="BM6" s="4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80"/>
      <c r="CF6" s="80"/>
      <c r="CG6" s="80"/>
      <c r="CH6" s="80"/>
      <c r="CI6" s="80"/>
      <c r="CJ6" s="80"/>
      <c r="CK6" s="80"/>
      <c r="CL6" s="80"/>
      <c r="CM6" s="80"/>
      <c r="CN6" s="80"/>
      <c r="CO6" s="80"/>
      <c r="CP6" s="80"/>
      <c r="CQ6" s="80"/>
      <c r="CR6" s="80"/>
      <c r="CS6" s="80"/>
      <c r="CT6" s="80"/>
      <c r="CU6" s="80"/>
      <c r="CV6" s="80"/>
      <c r="CW6" s="80"/>
      <c r="CX6" s="80"/>
      <c r="CY6" s="80"/>
      <c r="CZ6" s="80"/>
      <c r="DA6" s="80"/>
      <c r="DB6" s="80"/>
      <c r="DC6" s="80"/>
      <c r="DD6" s="80"/>
      <c r="DE6" s="80"/>
      <c r="DF6" s="80"/>
      <c r="DG6" s="80"/>
      <c r="DH6" s="80"/>
    </row>
    <row r="7" spans="2:112" s="74" customFormat="1" ht="23.25" x14ac:dyDescent="0.3">
      <c r="B7" s="176">
        <v>3</v>
      </c>
      <c r="C7" s="175"/>
      <c r="D7" s="178"/>
      <c r="E7" s="176">
        <v>53</v>
      </c>
      <c r="F7" s="175"/>
      <c r="G7" s="181"/>
      <c r="H7" s="182">
        <v>103</v>
      </c>
      <c r="I7" s="175"/>
      <c r="J7" s="181"/>
      <c r="K7" s="182">
        <v>153</v>
      </c>
      <c r="L7" s="175"/>
      <c r="M7" s="107"/>
      <c r="N7" s="139" t="s">
        <v>154</v>
      </c>
      <c r="O7" s="71"/>
      <c r="P7" s="218"/>
      <c r="Q7" s="219"/>
      <c r="R7" s="220"/>
      <c r="S7" s="97"/>
      <c r="T7" s="71"/>
      <c r="X7" s="75"/>
      <c r="Y7" s="75"/>
      <c r="Z7" s="108"/>
      <c r="AA7" s="4"/>
      <c r="AB7" s="4"/>
      <c r="AC7" s="4"/>
      <c r="AD7" s="4"/>
      <c r="AE7" s="4"/>
      <c r="AF7" s="4"/>
      <c r="AG7" s="4"/>
      <c r="AH7" s="4"/>
      <c r="AI7" s="81"/>
      <c r="AJ7" s="81"/>
      <c r="AK7" s="81"/>
      <c r="AL7" s="81"/>
      <c r="AM7" s="81"/>
      <c r="AN7" s="81"/>
      <c r="AO7" s="81"/>
      <c r="AP7" s="4"/>
      <c r="AQ7" s="4"/>
      <c r="AR7" s="4"/>
      <c r="AS7" s="4"/>
      <c r="AT7" s="4"/>
      <c r="AU7" s="4"/>
      <c r="AV7" s="82"/>
      <c r="AW7" s="83"/>
      <c r="AX7" s="13"/>
      <c r="AY7" s="13"/>
      <c r="AZ7" s="83"/>
      <c r="BA7" s="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4"/>
      <c r="BM7" s="4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80"/>
      <c r="CF7" s="80"/>
      <c r="CG7" s="80"/>
      <c r="CH7" s="80"/>
      <c r="CI7" s="80"/>
      <c r="CJ7" s="80"/>
      <c r="CK7" s="80"/>
      <c r="CL7" s="80"/>
      <c r="CM7" s="80"/>
      <c r="CN7" s="80"/>
      <c r="CO7" s="80"/>
      <c r="CP7" s="80"/>
      <c r="CQ7" s="80"/>
      <c r="CR7" s="80"/>
      <c r="CS7" s="80"/>
      <c r="CT7" s="80"/>
      <c r="CU7" s="80"/>
      <c r="CV7" s="80"/>
      <c r="CW7" s="80"/>
      <c r="CX7" s="80"/>
      <c r="CY7" s="80"/>
      <c r="CZ7" s="80"/>
      <c r="DA7" s="80"/>
      <c r="DB7" s="80"/>
      <c r="DC7" s="80"/>
      <c r="DD7" s="80"/>
      <c r="DE7" s="80"/>
      <c r="DF7" s="80"/>
      <c r="DG7" s="80"/>
      <c r="DH7" s="80"/>
    </row>
    <row r="8" spans="2:112" s="74" customFormat="1" ht="24" thickBot="1" x14ac:dyDescent="0.35">
      <c r="B8" s="176">
        <v>4</v>
      </c>
      <c r="C8" s="175"/>
      <c r="D8" s="178"/>
      <c r="E8" s="176">
        <v>54</v>
      </c>
      <c r="F8" s="175"/>
      <c r="G8" s="181"/>
      <c r="H8" s="182">
        <v>104</v>
      </c>
      <c r="I8" s="175"/>
      <c r="J8" s="181"/>
      <c r="K8" s="182">
        <v>154</v>
      </c>
      <c r="L8" s="175"/>
      <c r="M8" s="107"/>
      <c r="N8" s="141" t="s">
        <v>155</v>
      </c>
      <c r="O8" s="152"/>
      <c r="P8" s="221"/>
      <c r="Q8" s="222"/>
      <c r="R8" s="223"/>
      <c r="S8" s="98"/>
      <c r="T8" s="114"/>
      <c r="X8" s="75"/>
      <c r="Y8" s="75"/>
      <c r="Z8" s="108"/>
      <c r="AA8" s="4"/>
      <c r="AB8" s="4"/>
      <c r="AC8" s="4"/>
      <c r="AD8" s="4"/>
      <c r="AE8" s="4"/>
      <c r="AF8" s="4"/>
      <c r="AG8" s="4"/>
      <c r="AH8" s="4"/>
      <c r="AI8" s="81"/>
      <c r="AJ8" s="81"/>
      <c r="AK8" s="81"/>
      <c r="AL8" s="81"/>
      <c r="AM8" s="81"/>
      <c r="AN8" s="81"/>
      <c r="AO8" s="81"/>
      <c r="AP8" s="4"/>
      <c r="AQ8" s="4"/>
      <c r="AR8" s="4"/>
      <c r="AS8" s="4"/>
      <c r="AT8" s="4"/>
      <c r="AU8" s="4"/>
      <c r="AV8" s="82"/>
      <c r="AW8" s="83"/>
      <c r="AX8" s="13"/>
      <c r="AY8" s="13"/>
      <c r="AZ8" s="83"/>
      <c r="BA8" s="4"/>
      <c r="BB8" s="5"/>
      <c r="BC8" s="6"/>
      <c r="BD8" s="6"/>
      <c r="BE8" s="7"/>
      <c r="BF8" s="8"/>
      <c r="BG8" s="9"/>
      <c r="BH8" s="10"/>
      <c r="BI8" s="11"/>
      <c r="BJ8" s="10"/>
      <c r="BK8" s="12"/>
      <c r="BL8" s="4"/>
      <c r="BM8" s="4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80"/>
      <c r="CF8" s="80"/>
      <c r="CG8" s="80"/>
      <c r="CH8" s="80"/>
      <c r="CI8" s="80"/>
      <c r="CJ8" s="80"/>
      <c r="CK8" s="80"/>
      <c r="CL8" s="80"/>
      <c r="CM8" s="80"/>
      <c r="CN8" s="80"/>
      <c r="CO8" s="80"/>
      <c r="CP8" s="80"/>
      <c r="CQ8" s="80"/>
      <c r="CR8" s="80"/>
      <c r="CS8" s="80"/>
      <c r="CT8" s="80"/>
      <c r="CU8" s="80"/>
      <c r="CV8" s="80"/>
      <c r="CW8" s="80"/>
      <c r="CX8" s="80"/>
      <c r="CY8" s="80"/>
      <c r="CZ8" s="80"/>
      <c r="DA8" s="80"/>
      <c r="DB8" s="80"/>
      <c r="DC8" s="80"/>
      <c r="DD8" s="80"/>
      <c r="DE8" s="80"/>
      <c r="DF8" s="80"/>
      <c r="DG8" s="80"/>
      <c r="DH8" s="80"/>
    </row>
    <row r="9" spans="2:112" s="74" customFormat="1" ht="19.5" thickBot="1" x14ac:dyDescent="0.35">
      <c r="B9" s="176">
        <v>5</v>
      </c>
      <c r="C9" s="175"/>
      <c r="D9" s="178"/>
      <c r="E9" s="176">
        <v>55</v>
      </c>
      <c r="F9" s="175"/>
      <c r="G9" s="181"/>
      <c r="H9" s="182">
        <v>105</v>
      </c>
      <c r="I9" s="175"/>
      <c r="J9" s="181"/>
      <c r="K9" s="182">
        <v>155</v>
      </c>
      <c r="L9" s="175"/>
      <c r="M9" s="107"/>
      <c r="N9" s="56"/>
      <c r="O9" s="87"/>
      <c r="P9" s="87"/>
      <c r="Q9" s="87"/>
      <c r="S9" s="97"/>
      <c r="T9" s="71"/>
      <c r="X9" s="75"/>
      <c r="Y9" s="75"/>
      <c r="Z9" s="108"/>
      <c r="AA9" s="4"/>
      <c r="AB9" s="4"/>
      <c r="AC9" s="4"/>
      <c r="AD9" s="4"/>
      <c r="AE9" s="4"/>
      <c r="AF9" s="4"/>
      <c r="AG9" s="4"/>
      <c r="AH9" s="4"/>
      <c r="AI9" s="81"/>
      <c r="AJ9" s="81"/>
      <c r="AK9" s="81"/>
      <c r="AL9" s="81"/>
      <c r="AM9" s="81"/>
      <c r="AN9" s="81"/>
      <c r="AO9" s="81"/>
      <c r="AP9" s="4"/>
      <c r="AQ9" s="4"/>
      <c r="AR9" s="4"/>
      <c r="AS9" s="4"/>
      <c r="AT9" s="4"/>
      <c r="AU9" s="4"/>
      <c r="AV9" s="82"/>
      <c r="AW9" s="83"/>
      <c r="AX9" s="13"/>
      <c r="AY9" s="13"/>
      <c r="AZ9" s="83"/>
      <c r="BA9" s="4"/>
      <c r="BB9" s="5"/>
      <c r="BC9" s="85"/>
      <c r="BD9" s="6"/>
      <c r="BE9" s="7"/>
      <c r="BF9" s="8"/>
      <c r="BG9" s="9"/>
      <c r="BH9" s="10"/>
      <c r="BI9" s="11"/>
      <c r="BJ9" s="10"/>
      <c r="BK9" s="12"/>
      <c r="BL9" s="4"/>
      <c r="BM9" s="4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</row>
    <row r="10" spans="2:112" s="74" customFormat="1" ht="23.25" x14ac:dyDescent="0.25">
      <c r="B10" s="176">
        <v>6</v>
      </c>
      <c r="C10" s="175"/>
      <c r="D10" s="178"/>
      <c r="E10" s="176">
        <v>56</v>
      </c>
      <c r="F10" s="175"/>
      <c r="G10" s="181"/>
      <c r="H10" s="182">
        <v>106</v>
      </c>
      <c r="I10" s="175"/>
      <c r="J10" s="181"/>
      <c r="K10" s="182">
        <v>156</v>
      </c>
      <c r="L10" s="175"/>
      <c r="M10" s="107"/>
      <c r="N10" s="146" t="s">
        <v>113</v>
      </c>
      <c r="O10" s="148"/>
      <c r="P10" s="229" t="s">
        <v>141</v>
      </c>
      <c r="Q10" s="229"/>
      <c r="R10" s="230"/>
      <c r="S10" s="98"/>
      <c r="T10" s="114"/>
      <c r="X10" s="75"/>
      <c r="Y10" s="4" t="str">
        <f>MID(Merkmal,FIND("/",Merkmal,1)+2,50)</f>
        <v>weight</v>
      </c>
      <c r="Z10" s="108"/>
      <c r="AB10" s="4"/>
      <c r="AC10" s="4"/>
      <c r="AD10" s="4"/>
      <c r="AE10" s="4"/>
      <c r="AF10" s="4"/>
      <c r="AG10" s="4"/>
      <c r="AH10" s="4"/>
      <c r="AI10" s="81"/>
      <c r="AJ10" s="81"/>
      <c r="AK10" s="81"/>
      <c r="AL10" s="81"/>
      <c r="AM10" s="81"/>
      <c r="AN10" s="81"/>
      <c r="AO10" s="81"/>
      <c r="AP10" s="4"/>
      <c r="AQ10" s="4"/>
      <c r="AR10" s="4"/>
      <c r="AS10" s="4"/>
      <c r="AT10" s="4"/>
      <c r="AU10" s="4"/>
      <c r="AV10" s="82"/>
      <c r="AW10" s="83"/>
      <c r="AX10" s="13"/>
      <c r="AY10" s="13"/>
      <c r="AZ10" s="83"/>
      <c r="BA10" s="4"/>
      <c r="BB10" s="5"/>
      <c r="BC10" s="85"/>
      <c r="BD10" s="6"/>
      <c r="BE10" s="7"/>
      <c r="BF10" s="8"/>
      <c r="BG10" s="9"/>
      <c r="BH10" s="10"/>
      <c r="BI10" s="11"/>
      <c r="BJ10" s="10"/>
      <c r="BK10" s="12"/>
      <c r="BL10" s="4"/>
      <c r="BM10" s="4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80"/>
      <c r="CM10" s="80"/>
      <c r="CN10" s="80"/>
      <c r="CO10" s="80"/>
      <c r="CP10" s="80"/>
      <c r="CQ10" s="80"/>
      <c r="CR10" s="80"/>
      <c r="CS10" s="80"/>
      <c r="CT10" s="80"/>
      <c r="CU10" s="80"/>
      <c r="CV10" s="80"/>
      <c r="CW10" s="80"/>
      <c r="CX10" s="80"/>
      <c r="CY10" s="80"/>
      <c r="CZ10" s="80"/>
      <c r="DA10" s="80"/>
      <c r="DB10" s="80"/>
      <c r="DC10" s="80"/>
      <c r="DD10" s="80"/>
      <c r="DE10" s="80"/>
      <c r="DF10" s="80"/>
      <c r="DG10" s="80"/>
      <c r="DH10" s="80"/>
    </row>
    <row r="11" spans="2:112" s="74" customFormat="1" ht="23.25" x14ac:dyDescent="0.3">
      <c r="B11" s="176">
        <v>7</v>
      </c>
      <c r="C11" s="175"/>
      <c r="D11" s="178"/>
      <c r="E11" s="176">
        <v>57</v>
      </c>
      <c r="F11" s="175"/>
      <c r="G11" s="181"/>
      <c r="H11" s="182">
        <v>107</v>
      </c>
      <c r="I11" s="175"/>
      <c r="J11" s="181"/>
      <c r="K11" s="182">
        <v>157</v>
      </c>
      <c r="L11" s="175"/>
      <c r="M11" s="107"/>
      <c r="N11" s="139" t="s">
        <v>85</v>
      </c>
      <c r="O11" s="51"/>
      <c r="P11" s="231"/>
      <c r="Q11" s="231"/>
      <c r="R11" s="232"/>
      <c r="S11" s="97"/>
      <c r="T11" s="71"/>
      <c r="X11" s="75"/>
      <c r="Y11" s="75"/>
      <c r="Z11" s="108"/>
      <c r="AA11" s="4"/>
      <c r="AB11" s="4"/>
      <c r="AC11" s="4"/>
      <c r="AD11" s="4"/>
      <c r="AE11" s="4"/>
      <c r="AF11" s="4"/>
      <c r="AG11" s="4"/>
      <c r="AH11" s="4"/>
      <c r="AI11" s="81"/>
      <c r="AJ11" s="81"/>
      <c r="AK11" s="81"/>
      <c r="AL11" s="81"/>
      <c r="AM11" s="81"/>
      <c r="AN11" s="81"/>
      <c r="AO11" s="81"/>
      <c r="AP11" s="4"/>
      <c r="AQ11" s="4"/>
      <c r="AR11" s="4"/>
      <c r="AS11" s="4"/>
      <c r="AT11" s="4"/>
      <c r="AU11" s="4"/>
      <c r="AV11" s="82"/>
      <c r="AW11" s="83"/>
      <c r="AX11" s="13"/>
      <c r="AY11" s="13"/>
      <c r="AZ11" s="83"/>
      <c r="BA11" s="4"/>
      <c r="BB11" s="5"/>
      <c r="BC11" s="85"/>
      <c r="BD11" s="6"/>
      <c r="BE11" s="7"/>
      <c r="BF11" s="8"/>
      <c r="BG11" s="9"/>
      <c r="BH11" s="10"/>
      <c r="BI11" s="11"/>
      <c r="BJ11" s="10"/>
      <c r="BK11" s="12"/>
      <c r="BL11" s="4"/>
      <c r="BM11" s="4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80"/>
      <c r="CM11" s="80"/>
      <c r="CN11" s="80"/>
      <c r="CO11" s="80"/>
      <c r="CP11" s="80"/>
      <c r="CQ11" s="80"/>
      <c r="CR11" s="80"/>
      <c r="CS11" s="80"/>
      <c r="CT11" s="80"/>
      <c r="CU11" s="80"/>
      <c r="CV11" s="80"/>
      <c r="CW11" s="80"/>
      <c r="CX11" s="80"/>
      <c r="CY11" s="80"/>
      <c r="CZ11" s="80"/>
      <c r="DA11" s="80"/>
      <c r="DB11" s="80"/>
      <c r="DC11" s="80"/>
      <c r="DD11" s="80"/>
      <c r="DE11" s="80"/>
      <c r="DF11" s="80"/>
      <c r="DG11" s="80"/>
      <c r="DH11" s="80"/>
    </row>
    <row r="12" spans="2:112" s="74" customFormat="1" ht="23.25" x14ac:dyDescent="0.25">
      <c r="B12" s="176">
        <v>8</v>
      </c>
      <c r="C12" s="175"/>
      <c r="D12" s="178"/>
      <c r="E12" s="176">
        <v>58</v>
      </c>
      <c r="F12" s="175"/>
      <c r="G12" s="181"/>
      <c r="H12" s="182">
        <v>108</v>
      </c>
      <c r="I12" s="175"/>
      <c r="J12" s="181"/>
      <c r="K12" s="182">
        <v>158</v>
      </c>
      <c r="L12" s="175"/>
      <c r="M12" s="107"/>
      <c r="N12" s="139" t="s">
        <v>112</v>
      </c>
      <c r="O12" s="51"/>
      <c r="P12" s="183" t="str">
        <f>VLOOKUP(Merkmal,Berechnung!S45:T52,2,FALSE)</f>
        <v>[g]</v>
      </c>
      <c r="Q12" s="156"/>
      <c r="R12" s="157"/>
      <c r="S12" s="98"/>
      <c r="T12" s="114"/>
      <c r="X12" s="75"/>
      <c r="Y12" s="75"/>
      <c r="Z12" s="108"/>
      <c r="AA12" s="4"/>
      <c r="AB12" s="4"/>
      <c r="AC12" s="4"/>
      <c r="AD12" s="4"/>
      <c r="AE12" s="4"/>
      <c r="AF12" s="4"/>
      <c r="AG12" s="4"/>
      <c r="AH12" s="4"/>
      <c r="AI12" s="81"/>
      <c r="AJ12" s="81"/>
      <c r="AK12" s="81"/>
      <c r="AL12" s="81"/>
      <c r="AM12" s="81"/>
      <c r="AN12" s="81"/>
      <c r="AO12" s="81"/>
      <c r="AP12" s="4"/>
      <c r="AQ12" s="4"/>
      <c r="AR12" s="4"/>
      <c r="AS12" s="4"/>
      <c r="AT12" s="4"/>
      <c r="AU12" s="4"/>
      <c r="AV12" s="82"/>
      <c r="AW12" s="83"/>
      <c r="AX12" s="13"/>
      <c r="AY12" s="13"/>
      <c r="AZ12" s="83"/>
      <c r="BA12" s="4"/>
      <c r="BB12" s="5"/>
      <c r="BC12" s="85"/>
      <c r="BD12" s="6"/>
      <c r="BE12" s="7"/>
      <c r="BF12" s="8"/>
      <c r="BG12" s="9"/>
      <c r="BH12" s="10"/>
      <c r="BI12" s="11"/>
      <c r="BJ12" s="10"/>
      <c r="BK12" s="12"/>
      <c r="BL12" s="4"/>
      <c r="BM12" s="4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80"/>
      <c r="CM12" s="80"/>
      <c r="CN12" s="80"/>
      <c r="CO12" s="80"/>
      <c r="CP12" s="80"/>
      <c r="CQ12" s="80"/>
      <c r="CR12" s="80"/>
      <c r="CS12" s="80"/>
      <c r="CT12" s="80"/>
      <c r="CU12" s="80"/>
      <c r="CV12" s="80"/>
      <c r="CW12" s="80"/>
      <c r="CX12" s="80"/>
      <c r="CY12" s="80"/>
      <c r="CZ12" s="80"/>
      <c r="DA12" s="80"/>
      <c r="DB12" s="80"/>
      <c r="DC12" s="80"/>
      <c r="DD12" s="80"/>
      <c r="DE12" s="80"/>
      <c r="DF12" s="80"/>
      <c r="DG12" s="80"/>
      <c r="DH12" s="80"/>
    </row>
    <row r="13" spans="2:112" s="74" customFormat="1" ht="23.25" x14ac:dyDescent="0.3">
      <c r="B13" s="176">
        <v>9</v>
      </c>
      <c r="C13" s="175"/>
      <c r="D13" s="178"/>
      <c r="E13" s="176">
        <v>59</v>
      </c>
      <c r="F13" s="175"/>
      <c r="G13" s="181"/>
      <c r="H13" s="182">
        <v>109</v>
      </c>
      <c r="I13" s="175"/>
      <c r="J13" s="181"/>
      <c r="K13" s="182">
        <v>159</v>
      </c>
      <c r="L13" s="175"/>
      <c r="M13" s="107"/>
      <c r="N13" s="139" t="s">
        <v>114</v>
      </c>
      <c r="O13" s="51"/>
      <c r="P13" s="153"/>
      <c r="Q13" s="227" t="s">
        <v>131</v>
      </c>
      <c r="R13" s="228"/>
      <c r="S13" s="97"/>
      <c r="T13" s="71"/>
      <c r="X13" s="75"/>
      <c r="Y13" s="75"/>
      <c r="Z13" s="108"/>
      <c r="AA13" s="4"/>
      <c r="AB13" s="4"/>
      <c r="AC13" s="4"/>
      <c r="AD13" s="4"/>
      <c r="AE13" s="4"/>
      <c r="AF13" s="4"/>
      <c r="AG13" s="4"/>
      <c r="AH13" s="4"/>
      <c r="AI13" s="81"/>
      <c r="AJ13" s="81"/>
      <c r="AK13" s="81"/>
      <c r="AL13" s="81"/>
      <c r="AM13" s="81"/>
      <c r="AN13" s="81"/>
      <c r="AO13" s="81"/>
      <c r="AP13" s="4"/>
      <c r="AQ13" s="4"/>
      <c r="AR13" s="4"/>
      <c r="AS13" s="4"/>
      <c r="AT13" s="4"/>
      <c r="AU13" s="4"/>
      <c r="AV13" s="82"/>
      <c r="AW13" s="83"/>
      <c r="AX13" s="13"/>
      <c r="AY13" s="13"/>
      <c r="AZ13" s="83"/>
      <c r="BA13" s="4"/>
      <c r="BB13" s="5"/>
      <c r="BC13" s="85"/>
      <c r="BD13" s="6"/>
      <c r="BE13" s="7"/>
      <c r="BF13" s="8"/>
      <c r="BG13" s="9"/>
      <c r="BH13" s="10"/>
      <c r="BI13" s="11"/>
      <c r="BJ13" s="10"/>
      <c r="BK13" s="12"/>
      <c r="BL13" s="4"/>
      <c r="BM13" s="4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80"/>
      <c r="CM13" s="80"/>
      <c r="CN13" s="80"/>
      <c r="CO13" s="80"/>
      <c r="CP13" s="80"/>
      <c r="CQ13" s="80"/>
      <c r="CR13" s="80"/>
      <c r="CS13" s="80"/>
      <c r="CT13" s="80"/>
      <c r="CU13" s="80"/>
      <c r="CV13" s="80"/>
      <c r="CW13" s="80"/>
      <c r="CX13" s="80"/>
      <c r="CY13" s="80"/>
      <c r="CZ13" s="80"/>
      <c r="DA13" s="80"/>
      <c r="DB13" s="80"/>
      <c r="DC13" s="80"/>
      <c r="DD13" s="80"/>
      <c r="DE13" s="80"/>
      <c r="DF13" s="80"/>
      <c r="DG13" s="80"/>
      <c r="DH13" s="80"/>
    </row>
    <row r="14" spans="2:112" s="74" customFormat="1" ht="24" customHeight="1" x14ac:dyDescent="0.25">
      <c r="B14" s="176">
        <v>10</v>
      </c>
      <c r="C14" s="175"/>
      <c r="D14" s="178"/>
      <c r="E14" s="176">
        <v>60</v>
      </c>
      <c r="F14" s="175"/>
      <c r="G14" s="181"/>
      <c r="H14" s="182">
        <v>110</v>
      </c>
      <c r="I14" s="175"/>
      <c r="J14" s="181"/>
      <c r="K14" s="182">
        <v>160</v>
      </c>
      <c r="L14" s="175"/>
      <c r="M14" s="107"/>
      <c r="N14" s="139" t="s">
        <v>115</v>
      </c>
      <c r="O14" s="51"/>
      <c r="P14" s="154">
        <v>0</v>
      </c>
      <c r="Q14" s="154"/>
      <c r="R14" s="213" t="s">
        <v>158</v>
      </c>
      <c r="S14" s="114"/>
      <c r="W14" s="75"/>
      <c r="X14" s="75"/>
      <c r="Y14" s="75"/>
      <c r="Z14" s="108"/>
      <c r="AA14" s="4"/>
      <c r="AB14" s="4"/>
      <c r="AC14" s="4"/>
      <c r="AD14" s="4"/>
      <c r="AE14" s="4"/>
      <c r="AF14" s="4"/>
      <c r="AG14" s="4"/>
      <c r="AH14" s="4"/>
      <c r="AI14" s="81"/>
      <c r="AJ14" s="81"/>
      <c r="AK14" s="81"/>
      <c r="AL14" s="81"/>
      <c r="AM14" s="81"/>
      <c r="AN14" s="81"/>
      <c r="AO14" s="81"/>
      <c r="AP14" s="4"/>
      <c r="AQ14" s="4"/>
      <c r="AR14" s="4"/>
      <c r="AS14" s="4"/>
      <c r="AT14" s="4"/>
      <c r="AU14" s="4"/>
      <c r="AV14" s="82"/>
      <c r="AW14" s="83"/>
      <c r="AX14" s="13"/>
      <c r="AY14" s="13"/>
      <c r="AZ14" s="83"/>
      <c r="BA14" s="4"/>
      <c r="BB14" s="5"/>
      <c r="BC14" s="85"/>
      <c r="BD14" s="6"/>
      <c r="BE14" s="7"/>
      <c r="BF14" s="8"/>
      <c r="BG14" s="9"/>
      <c r="BH14" s="10"/>
      <c r="BI14" s="11"/>
      <c r="BJ14" s="10"/>
      <c r="BK14" s="12"/>
      <c r="BL14" s="4"/>
      <c r="BM14" s="4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80"/>
      <c r="CM14" s="80"/>
      <c r="CN14" s="80"/>
      <c r="CO14" s="80"/>
      <c r="CP14" s="80"/>
      <c r="CQ14" s="80"/>
      <c r="CR14" s="80"/>
      <c r="CS14" s="80"/>
      <c r="CT14" s="80"/>
      <c r="CU14" s="80"/>
      <c r="CV14" s="80"/>
      <c r="CW14" s="80"/>
      <c r="CX14" s="80"/>
      <c r="CY14" s="80"/>
      <c r="CZ14" s="80"/>
      <c r="DA14" s="80"/>
      <c r="DB14" s="80"/>
      <c r="DC14" s="80"/>
      <c r="DD14" s="80"/>
      <c r="DE14" s="80"/>
      <c r="DF14" s="80"/>
      <c r="DG14" s="80"/>
      <c r="DH14" s="80"/>
    </row>
    <row r="15" spans="2:112" s="74" customFormat="1" ht="24" thickBot="1" x14ac:dyDescent="0.35">
      <c r="B15" s="176">
        <v>11</v>
      </c>
      <c r="C15" s="175"/>
      <c r="D15" s="178"/>
      <c r="E15" s="176">
        <v>61</v>
      </c>
      <c r="F15" s="175"/>
      <c r="G15" s="181"/>
      <c r="H15" s="182">
        <v>111</v>
      </c>
      <c r="I15" s="175"/>
      <c r="J15" s="181"/>
      <c r="K15" s="182">
        <v>161</v>
      </c>
      <c r="L15" s="175"/>
      <c r="M15" s="107"/>
      <c r="N15" s="141" t="s">
        <v>116</v>
      </c>
      <c r="O15" s="147"/>
      <c r="P15" s="155">
        <v>0</v>
      </c>
      <c r="Q15" s="155"/>
      <c r="R15" s="214"/>
      <c r="S15" s="71"/>
      <c r="W15" s="75"/>
      <c r="X15" s="75"/>
      <c r="Y15" s="75"/>
      <c r="Z15" s="108"/>
      <c r="AA15" s="4"/>
      <c r="AB15" s="4"/>
      <c r="AC15" s="4"/>
      <c r="AD15" s="4"/>
      <c r="AE15" s="4"/>
      <c r="AF15" s="4"/>
      <c r="AG15" s="4"/>
      <c r="AH15" s="4"/>
      <c r="AI15" s="81"/>
      <c r="AJ15" s="81"/>
      <c r="AK15" s="81"/>
      <c r="AL15" s="81"/>
      <c r="AM15" s="81"/>
      <c r="AN15" s="81"/>
      <c r="AO15" s="81"/>
      <c r="AP15" s="4"/>
      <c r="AQ15" s="4"/>
      <c r="AR15" s="4"/>
      <c r="AS15" s="4"/>
      <c r="AT15" s="4"/>
      <c r="AU15" s="4"/>
      <c r="AV15" s="82"/>
      <c r="AW15" s="83"/>
      <c r="AX15" s="13"/>
      <c r="AY15" s="13"/>
      <c r="AZ15" s="83"/>
      <c r="BA15" s="4"/>
      <c r="BB15" s="5"/>
      <c r="BC15" s="85"/>
      <c r="BD15" s="6"/>
      <c r="BE15" s="7"/>
      <c r="BF15" s="8"/>
      <c r="BG15" s="9"/>
      <c r="BH15" s="10"/>
      <c r="BI15" s="11"/>
      <c r="BJ15" s="10"/>
      <c r="BK15" s="12"/>
      <c r="BL15" s="4"/>
      <c r="BM15" s="4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80"/>
      <c r="CF15" s="80"/>
      <c r="CG15" s="80"/>
      <c r="CH15" s="80"/>
      <c r="CI15" s="80"/>
      <c r="CJ15" s="80"/>
      <c r="CK15" s="80"/>
      <c r="CL15" s="80"/>
      <c r="CM15" s="80"/>
      <c r="CN15" s="80"/>
      <c r="CO15" s="80"/>
      <c r="CP15" s="80"/>
      <c r="CQ15" s="80"/>
      <c r="CR15" s="80"/>
      <c r="CS15" s="80"/>
      <c r="CT15" s="80"/>
      <c r="CU15" s="80"/>
      <c r="CV15" s="80"/>
      <c r="CW15" s="80"/>
      <c r="CX15" s="80"/>
      <c r="CY15" s="80"/>
      <c r="CZ15" s="80"/>
      <c r="DA15" s="80"/>
      <c r="DB15" s="80"/>
      <c r="DC15" s="80"/>
      <c r="DD15" s="80"/>
      <c r="DE15" s="80"/>
      <c r="DF15" s="80"/>
      <c r="DG15" s="80"/>
      <c r="DH15" s="80"/>
    </row>
    <row r="16" spans="2:112" s="74" customFormat="1" ht="19.5" thickBot="1" x14ac:dyDescent="0.3">
      <c r="B16" s="176">
        <v>12</v>
      </c>
      <c r="C16" s="175"/>
      <c r="D16" s="178"/>
      <c r="E16" s="176">
        <v>62</v>
      </c>
      <c r="F16" s="175"/>
      <c r="G16" s="181"/>
      <c r="H16" s="182">
        <v>112</v>
      </c>
      <c r="I16" s="175"/>
      <c r="J16" s="181"/>
      <c r="K16" s="182">
        <v>162</v>
      </c>
      <c r="L16" s="175"/>
      <c r="M16" s="107"/>
      <c r="N16" s="56"/>
      <c r="O16" s="51"/>
      <c r="P16" s="51"/>
      <c r="R16" s="97"/>
      <c r="S16" s="114"/>
      <c r="W16" s="75"/>
      <c r="X16" s="75"/>
      <c r="Y16" s="75"/>
      <c r="Z16" s="108"/>
      <c r="AA16" s="4"/>
      <c r="AB16" s="4"/>
      <c r="AC16" s="4"/>
      <c r="AD16" s="4"/>
      <c r="AE16" s="4"/>
      <c r="AF16" s="4"/>
      <c r="AG16" s="4"/>
      <c r="AH16" s="4"/>
      <c r="AI16" s="81"/>
      <c r="AJ16" s="81"/>
      <c r="AK16" s="81"/>
      <c r="AL16" s="81"/>
      <c r="AM16" s="81"/>
      <c r="AN16" s="81"/>
      <c r="AO16" s="81"/>
      <c r="AP16" s="4"/>
      <c r="AQ16" s="4"/>
      <c r="AR16" s="4"/>
      <c r="AS16" s="4"/>
      <c r="AT16" s="4"/>
      <c r="AU16" s="4"/>
      <c r="AV16" s="82"/>
      <c r="AW16" s="83"/>
      <c r="AX16" s="13"/>
      <c r="AY16" s="13"/>
      <c r="AZ16" s="83"/>
      <c r="BA16" s="4"/>
      <c r="BB16" s="5"/>
      <c r="BC16" s="85"/>
      <c r="BD16" s="6"/>
      <c r="BE16" s="7"/>
      <c r="BF16" s="8"/>
      <c r="BG16" s="9"/>
      <c r="BH16" s="10"/>
      <c r="BI16" s="11"/>
      <c r="BJ16" s="10"/>
      <c r="BK16" s="12"/>
      <c r="BL16" s="4"/>
      <c r="BM16" s="4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80"/>
      <c r="CM16" s="80"/>
      <c r="CN16" s="80"/>
      <c r="CO16" s="80"/>
      <c r="CP16" s="80"/>
      <c r="CQ16" s="80"/>
      <c r="CR16" s="80"/>
      <c r="CS16" s="80"/>
      <c r="CT16" s="80"/>
      <c r="CU16" s="80"/>
      <c r="CV16" s="80"/>
      <c r="CW16" s="80"/>
      <c r="CX16" s="80"/>
      <c r="CY16" s="80"/>
      <c r="CZ16" s="80"/>
      <c r="DA16" s="80"/>
      <c r="DB16" s="80"/>
      <c r="DC16" s="80"/>
      <c r="DD16" s="80"/>
      <c r="DE16" s="80"/>
      <c r="DF16" s="80"/>
      <c r="DG16" s="80"/>
      <c r="DH16" s="80"/>
    </row>
    <row r="17" spans="2:112" s="74" customFormat="1" ht="23.45" customHeight="1" x14ac:dyDescent="0.3">
      <c r="B17" s="176">
        <v>13</v>
      </c>
      <c r="C17" s="175"/>
      <c r="D17" s="178"/>
      <c r="E17" s="176">
        <v>63</v>
      </c>
      <c r="F17" s="175"/>
      <c r="G17" s="181"/>
      <c r="H17" s="182">
        <v>113</v>
      </c>
      <c r="I17" s="175"/>
      <c r="J17" s="181"/>
      <c r="K17" s="182">
        <v>163</v>
      </c>
      <c r="L17" s="175"/>
      <c r="M17" s="107"/>
      <c r="N17" s="146" t="s">
        <v>117</v>
      </c>
      <c r="O17" s="148"/>
      <c r="P17" s="233"/>
      <c r="Q17" s="234"/>
      <c r="R17" s="235"/>
      <c r="S17" s="71"/>
      <c r="W17" s="75"/>
      <c r="X17" s="75"/>
      <c r="Y17" s="75"/>
      <c r="Z17" s="108"/>
      <c r="AA17" s="4"/>
      <c r="AB17" s="4"/>
      <c r="AC17" s="4"/>
      <c r="AD17" s="4"/>
      <c r="AE17" s="4"/>
      <c r="AF17" s="4"/>
      <c r="AG17" s="4"/>
      <c r="AH17" s="4"/>
      <c r="AI17" s="81"/>
      <c r="AJ17" s="81"/>
      <c r="AK17" s="81"/>
      <c r="AL17" s="81"/>
      <c r="AM17" s="81"/>
      <c r="AN17" s="81"/>
      <c r="AO17" s="81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5"/>
      <c r="BC17" s="85"/>
      <c r="BD17" s="6"/>
      <c r="BE17" s="7"/>
      <c r="BF17" s="8"/>
      <c r="BG17" s="9"/>
      <c r="BH17" s="10"/>
      <c r="BI17" s="11"/>
      <c r="BJ17" s="10"/>
      <c r="BK17" s="12"/>
      <c r="BL17" s="4"/>
      <c r="BM17" s="4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80"/>
      <c r="CM17" s="80"/>
      <c r="CN17" s="80"/>
      <c r="CO17" s="80"/>
      <c r="CP17" s="80"/>
      <c r="CQ17" s="80"/>
      <c r="CR17" s="80"/>
      <c r="CS17" s="80"/>
      <c r="CT17" s="80"/>
      <c r="CU17" s="80"/>
      <c r="CV17" s="80"/>
      <c r="CW17" s="80"/>
      <c r="CX17" s="80"/>
      <c r="CY17" s="80"/>
      <c r="CZ17" s="80"/>
      <c r="DA17" s="80"/>
      <c r="DB17" s="80"/>
      <c r="DC17" s="80"/>
      <c r="DD17" s="80"/>
      <c r="DE17" s="80"/>
      <c r="DF17" s="80"/>
      <c r="DG17" s="80"/>
      <c r="DH17" s="80"/>
    </row>
    <row r="18" spans="2:112" s="74" customFormat="1" ht="23.45" customHeight="1" thickBot="1" x14ac:dyDescent="0.3">
      <c r="B18" s="176">
        <v>14</v>
      </c>
      <c r="C18" s="175"/>
      <c r="D18" s="178"/>
      <c r="E18" s="176">
        <v>64</v>
      </c>
      <c r="F18" s="175"/>
      <c r="G18" s="181"/>
      <c r="H18" s="182">
        <v>114</v>
      </c>
      <c r="I18" s="175"/>
      <c r="J18" s="181"/>
      <c r="K18" s="182">
        <v>164</v>
      </c>
      <c r="L18" s="175"/>
      <c r="M18" s="107"/>
      <c r="N18" s="141"/>
      <c r="O18" s="147"/>
      <c r="P18" s="236"/>
      <c r="Q18" s="237"/>
      <c r="R18" s="238"/>
      <c r="S18" s="114"/>
      <c r="W18" s="75"/>
      <c r="X18" s="75"/>
      <c r="Y18" s="75"/>
      <c r="Z18" s="108"/>
      <c r="AA18" s="4"/>
      <c r="AB18" s="4"/>
      <c r="AC18" s="4"/>
      <c r="AD18" s="4"/>
      <c r="AE18" s="4"/>
      <c r="AF18" s="4"/>
      <c r="AG18" s="4"/>
      <c r="AH18" s="4"/>
      <c r="AI18" s="81"/>
      <c r="AJ18" s="81"/>
      <c r="AK18" s="81"/>
      <c r="AL18" s="81"/>
      <c r="AM18" s="81"/>
      <c r="AN18" s="81"/>
      <c r="AO18" s="81"/>
      <c r="AP18" s="4"/>
      <c r="AQ18" s="4"/>
      <c r="AR18" s="4"/>
      <c r="AS18" s="4"/>
      <c r="AT18" s="4"/>
      <c r="AU18" s="4"/>
      <c r="AV18" s="82"/>
      <c r="AW18" s="83"/>
      <c r="AX18" s="13"/>
      <c r="AY18" s="4"/>
      <c r="AZ18" s="4"/>
      <c r="BA18" s="4"/>
      <c r="BB18" s="5"/>
      <c r="BC18" s="85"/>
      <c r="BD18" s="6"/>
      <c r="BE18" s="7"/>
      <c r="BF18" s="8"/>
      <c r="BG18" s="9"/>
      <c r="BH18" s="10"/>
      <c r="BI18" s="11"/>
      <c r="BJ18" s="10"/>
      <c r="BK18" s="12"/>
      <c r="BL18" s="4"/>
      <c r="BM18" s="4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80"/>
      <c r="CF18" s="80"/>
      <c r="CG18" s="80"/>
      <c r="CH18" s="80"/>
      <c r="CI18" s="80"/>
      <c r="CJ18" s="80"/>
      <c r="CK18" s="80"/>
      <c r="CL18" s="80"/>
      <c r="CM18" s="80"/>
      <c r="CN18" s="80"/>
      <c r="CO18" s="80"/>
      <c r="CP18" s="80"/>
      <c r="CQ18" s="80"/>
      <c r="CR18" s="80"/>
      <c r="CS18" s="80"/>
      <c r="CT18" s="80"/>
      <c r="CU18" s="80"/>
      <c r="CV18" s="80"/>
      <c r="CW18" s="80"/>
      <c r="CX18" s="80"/>
      <c r="CY18" s="80"/>
      <c r="CZ18" s="80"/>
      <c r="DA18" s="80"/>
      <c r="DB18" s="80"/>
      <c r="DC18" s="80"/>
      <c r="DD18" s="80"/>
      <c r="DE18" s="80"/>
      <c r="DF18" s="80"/>
      <c r="DG18" s="80"/>
      <c r="DH18" s="80"/>
    </row>
    <row r="19" spans="2:112" s="74" customFormat="1" ht="19.5" thickBot="1" x14ac:dyDescent="0.35">
      <c r="B19" s="176">
        <v>15</v>
      </c>
      <c r="C19" s="175"/>
      <c r="D19" s="178"/>
      <c r="E19" s="176">
        <v>65</v>
      </c>
      <c r="F19" s="175"/>
      <c r="G19" s="181"/>
      <c r="H19" s="182">
        <v>115</v>
      </c>
      <c r="I19" s="175"/>
      <c r="J19" s="181"/>
      <c r="K19" s="182">
        <v>165</v>
      </c>
      <c r="L19" s="175"/>
      <c r="M19" s="107"/>
      <c r="N19" s="56"/>
      <c r="O19" s="51"/>
      <c r="P19" s="51"/>
      <c r="S19" s="71"/>
      <c r="W19" s="75"/>
      <c r="X19" s="75"/>
      <c r="Y19" s="75"/>
      <c r="Z19" s="108"/>
      <c r="AA19" s="4"/>
      <c r="AB19" s="4"/>
      <c r="AC19" s="4"/>
      <c r="AD19" s="4"/>
      <c r="AE19" s="4"/>
      <c r="AF19" s="4"/>
      <c r="AG19" s="4"/>
      <c r="AH19" s="4"/>
      <c r="AI19" s="81"/>
      <c r="AJ19" s="81"/>
      <c r="AK19" s="81"/>
      <c r="AL19" s="81"/>
      <c r="AM19" s="81"/>
      <c r="AN19" s="81"/>
      <c r="AO19" s="81"/>
      <c r="AP19" s="4"/>
      <c r="AQ19" s="4"/>
      <c r="AR19" s="4"/>
      <c r="AS19" s="4"/>
      <c r="AT19" s="4"/>
      <c r="AU19" s="4"/>
      <c r="AV19" s="82"/>
      <c r="AW19" s="83"/>
      <c r="AX19" s="13"/>
      <c r="AY19" s="4"/>
      <c r="AZ19" s="4"/>
      <c r="BA19" s="4"/>
      <c r="BB19" s="5"/>
      <c r="BC19" s="85"/>
      <c r="BD19" s="6"/>
      <c r="BE19" s="7"/>
      <c r="BF19" s="8"/>
      <c r="BG19" s="9"/>
      <c r="BH19" s="10"/>
      <c r="BI19" s="11"/>
      <c r="BJ19" s="10"/>
      <c r="BK19" s="12"/>
      <c r="BL19" s="4"/>
      <c r="BM19" s="4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80"/>
      <c r="CF19" s="80"/>
      <c r="CG19" s="80"/>
      <c r="CH19" s="80"/>
      <c r="CI19" s="80"/>
      <c r="CJ19" s="80"/>
      <c r="CK19" s="80"/>
      <c r="CL19" s="80"/>
      <c r="CM19" s="80"/>
      <c r="CN19" s="80"/>
      <c r="CO19" s="80"/>
      <c r="CP19" s="80"/>
      <c r="CQ19" s="80"/>
      <c r="CR19" s="80"/>
      <c r="CS19" s="80"/>
      <c r="CT19" s="80"/>
      <c r="CU19" s="80"/>
      <c r="CV19" s="80"/>
      <c r="CW19" s="80"/>
      <c r="CX19" s="80"/>
      <c r="CY19" s="80"/>
      <c r="CZ19" s="80"/>
      <c r="DA19" s="80"/>
      <c r="DB19" s="80"/>
      <c r="DC19" s="80"/>
      <c r="DD19" s="80"/>
      <c r="DE19" s="80"/>
      <c r="DF19" s="80"/>
      <c r="DG19" s="80"/>
      <c r="DH19" s="80"/>
    </row>
    <row r="20" spans="2:112" s="74" customFormat="1" ht="23.25" x14ac:dyDescent="0.25">
      <c r="B20" s="176">
        <v>16</v>
      </c>
      <c r="C20" s="175"/>
      <c r="D20" s="178"/>
      <c r="E20" s="176">
        <v>66</v>
      </c>
      <c r="F20" s="175"/>
      <c r="G20" s="181"/>
      <c r="H20" s="182">
        <v>116</v>
      </c>
      <c r="I20" s="175"/>
      <c r="J20" s="181"/>
      <c r="K20" s="182">
        <v>166</v>
      </c>
      <c r="L20" s="175"/>
      <c r="M20" s="107"/>
      <c r="N20" s="146" t="s">
        <v>118</v>
      </c>
      <c r="O20" s="148"/>
      <c r="P20" s="224"/>
      <c r="Q20" s="225"/>
      <c r="R20" s="226"/>
      <c r="S20" s="114"/>
      <c r="W20" s="75"/>
      <c r="X20" s="75"/>
      <c r="Y20" s="75"/>
      <c r="Z20" s="108"/>
      <c r="AA20" s="4"/>
      <c r="AB20" s="4"/>
      <c r="AC20" s="4"/>
      <c r="AD20" s="4"/>
      <c r="AE20" s="4"/>
      <c r="AF20" s="4"/>
      <c r="AG20" s="4"/>
      <c r="AH20" s="4"/>
      <c r="AI20" s="81"/>
      <c r="AJ20" s="81"/>
      <c r="AK20" s="81"/>
      <c r="AL20" s="81"/>
      <c r="AM20" s="81"/>
      <c r="AN20" s="81"/>
      <c r="AO20" s="81"/>
      <c r="AP20" s="4"/>
      <c r="AQ20" s="4"/>
      <c r="AR20" s="4"/>
      <c r="AS20" s="4"/>
      <c r="AT20" s="4"/>
      <c r="AU20" s="4"/>
      <c r="AV20" s="82"/>
      <c r="AW20" s="83"/>
      <c r="AX20" s="13"/>
      <c r="AY20" s="4"/>
      <c r="AZ20" s="4"/>
      <c r="BA20" s="4"/>
      <c r="BB20" s="5"/>
      <c r="BC20" s="85"/>
      <c r="BD20" s="6"/>
      <c r="BE20" s="7"/>
      <c r="BF20" s="8"/>
      <c r="BG20" s="9"/>
      <c r="BH20" s="10"/>
      <c r="BI20" s="11"/>
      <c r="BJ20" s="10"/>
      <c r="BK20" s="12"/>
      <c r="BL20" s="4"/>
      <c r="BM20" s="4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80"/>
      <c r="CF20" s="80"/>
      <c r="CG20" s="80"/>
      <c r="CH20" s="80"/>
      <c r="CI20" s="80"/>
      <c r="CJ20" s="80"/>
      <c r="CK20" s="80"/>
      <c r="CL20" s="80"/>
      <c r="CM20" s="80"/>
      <c r="CN20" s="80"/>
      <c r="CO20" s="80"/>
      <c r="CP20" s="80"/>
      <c r="CQ20" s="80"/>
      <c r="CR20" s="80"/>
      <c r="CS20" s="80"/>
      <c r="CT20" s="80"/>
      <c r="CU20" s="80"/>
      <c r="CV20" s="80"/>
      <c r="CW20" s="80"/>
      <c r="CX20" s="80"/>
      <c r="CY20" s="80"/>
      <c r="CZ20" s="80"/>
      <c r="DA20" s="80"/>
      <c r="DB20" s="80"/>
      <c r="DC20" s="80"/>
      <c r="DD20" s="80"/>
      <c r="DE20" s="80"/>
      <c r="DF20" s="80"/>
      <c r="DG20" s="80"/>
      <c r="DH20" s="80"/>
    </row>
    <row r="21" spans="2:112" s="74" customFormat="1" ht="23.25" customHeight="1" x14ac:dyDescent="0.3">
      <c r="B21" s="176">
        <v>17</v>
      </c>
      <c r="C21" s="175"/>
      <c r="D21" s="178"/>
      <c r="E21" s="176">
        <v>67</v>
      </c>
      <c r="F21" s="175"/>
      <c r="G21" s="181"/>
      <c r="H21" s="182">
        <v>117</v>
      </c>
      <c r="I21" s="175"/>
      <c r="J21" s="181"/>
      <c r="K21" s="182">
        <v>167</v>
      </c>
      <c r="L21" s="175"/>
      <c r="M21" s="107"/>
      <c r="N21" s="139" t="s">
        <v>119</v>
      </c>
      <c r="O21" s="51"/>
      <c r="P21" s="210"/>
      <c r="Q21" s="211"/>
      <c r="R21" s="212"/>
      <c r="S21" s="71"/>
      <c r="W21" s="75"/>
      <c r="X21" s="75"/>
      <c r="Y21" s="75"/>
      <c r="Z21" s="108"/>
      <c r="AA21" s="4"/>
      <c r="AB21" s="4"/>
      <c r="AC21" s="4"/>
      <c r="AD21" s="4"/>
      <c r="AE21" s="4"/>
      <c r="AF21" s="4"/>
      <c r="AG21" s="4"/>
      <c r="AH21" s="4"/>
      <c r="AI21" s="81"/>
      <c r="AJ21" s="81"/>
      <c r="AK21" s="81"/>
      <c r="AL21" s="81"/>
      <c r="AM21" s="81"/>
      <c r="AN21" s="81"/>
      <c r="AO21" s="81"/>
      <c r="AP21" s="4"/>
      <c r="AQ21" s="4"/>
      <c r="AR21" s="4"/>
      <c r="AS21" s="4"/>
      <c r="AT21" s="4"/>
      <c r="AU21" s="4"/>
      <c r="AV21" s="82"/>
      <c r="AW21" s="83"/>
      <c r="AX21" s="13"/>
      <c r="AY21" s="4"/>
      <c r="AZ21" s="4"/>
      <c r="BA21" s="4"/>
      <c r="BB21" s="5"/>
      <c r="BC21" s="85"/>
      <c r="BD21" s="6"/>
      <c r="BE21" s="7"/>
      <c r="BF21" s="8"/>
      <c r="BG21" s="9"/>
      <c r="BH21" s="10"/>
      <c r="BI21" s="11"/>
      <c r="BJ21" s="10"/>
      <c r="BK21" s="12"/>
      <c r="BL21" s="4"/>
      <c r="BM21" s="4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80"/>
      <c r="CF21" s="80"/>
      <c r="CG21" s="80"/>
      <c r="CH21" s="80"/>
      <c r="CI21" s="80"/>
      <c r="CJ21" s="80"/>
      <c r="CK21" s="80"/>
      <c r="CL21" s="80"/>
      <c r="CM21" s="80"/>
      <c r="CN21" s="80"/>
      <c r="CO21" s="80"/>
      <c r="CP21" s="80"/>
      <c r="CQ21" s="80"/>
      <c r="CR21" s="80"/>
      <c r="CS21" s="80"/>
      <c r="CT21" s="80"/>
      <c r="CU21" s="80"/>
      <c r="CV21" s="80"/>
      <c r="CW21" s="80"/>
      <c r="CX21" s="80"/>
      <c r="CY21" s="80"/>
      <c r="CZ21" s="80"/>
      <c r="DA21" s="80"/>
      <c r="DB21" s="80"/>
      <c r="DC21" s="80"/>
      <c r="DD21" s="80"/>
      <c r="DE21" s="80"/>
      <c r="DF21" s="80"/>
      <c r="DG21" s="80"/>
      <c r="DH21" s="80"/>
    </row>
    <row r="22" spans="2:112" s="74" customFormat="1" ht="23.25" customHeight="1" x14ac:dyDescent="0.3">
      <c r="B22" s="176">
        <v>18</v>
      </c>
      <c r="C22" s="175"/>
      <c r="D22" s="178"/>
      <c r="E22" s="176">
        <v>68</v>
      </c>
      <c r="F22" s="175"/>
      <c r="G22" s="181"/>
      <c r="H22" s="182">
        <v>118</v>
      </c>
      <c r="I22" s="175"/>
      <c r="J22" s="181"/>
      <c r="K22" s="182">
        <v>168</v>
      </c>
      <c r="L22" s="175"/>
      <c r="M22" s="107"/>
      <c r="N22" s="149" t="s">
        <v>120</v>
      </c>
      <c r="O22" s="51"/>
      <c r="P22" s="247"/>
      <c r="Q22" s="248"/>
      <c r="R22" s="249"/>
      <c r="V22" s="75"/>
      <c r="W22" s="75"/>
      <c r="X22" s="75"/>
      <c r="Y22" s="76" t="e">
        <f>VLOOKUP(P26,Berechnung!S4:T29,2,FALSE)</f>
        <v>#N/A</v>
      </c>
      <c r="Z22" s="108"/>
      <c r="AA22" s="4"/>
      <c r="AB22" s="4"/>
      <c r="AC22" s="4"/>
      <c r="AD22" s="4"/>
      <c r="AE22" s="4"/>
      <c r="AF22" s="4"/>
      <c r="AG22" s="4"/>
      <c r="AH22" s="81"/>
      <c r="AI22" s="81"/>
      <c r="AJ22" s="81"/>
      <c r="AK22" s="81"/>
      <c r="AL22" s="81"/>
      <c r="AM22" s="81"/>
      <c r="AN22" s="81"/>
      <c r="AO22" s="4"/>
      <c r="AP22" s="4"/>
      <c r="AQ22" s="4"/>
      <c r="AR22" s="4"/>
      <c r="AS22" s="4"/>
      <c r="AT22" s="4"/>
      <c r="AU22" s="13"/>
      <c r="AV22" s="13"/>
      <c r="AW22" s="13"/>
      <c r="AX22" s="4"/>
      <c r="AY22" s="4"/>
      <c r="AZ22" s="4"/>
      <c r="BA22" s="5"/>
      <c r="BB22" s="85"/>
      <c r="BC22" s="6"/>
      <c r="BD22" s="7"/>
      <c r="BE22" s="8"/>
      <c r="BF22" s="9"/>
      <c r="BG22" s="10"/>
      <c r="BH22" s="11"/>
      <c r="BI22" s="10"/>
      <c r="BJ22" s="12"/>
      <c r="BK22" s="4"/>
      <c r="BL22" s="4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80"/>
      <c r="CF22" s="80"/>
      <c r="CG22" s="80"/>
      <c r="CH22" s="80"/>
      <c r="CI22" s="80"/>
      <c r="CJ22" s="80"/>
      <c r="CK22" s="80"/>
      <c r="CL22" s="80"/>
      <c r="CM22" s="80"/>
      <c r="CN22" s="80"/>
      <c r="CO22" s="80"/>
      <c r="CP22" s="80"/>
      <c r="CQ22" s="80"/>
      <c r="CR22" s="80"/>
      <c r="CS22" s="80"/>
      <c r="CT22" s="80"/>
      <c r="CU22" s="80"/>
      <c r="CV22" s="80"/>
      <c r="CW22" s="80"/>
      <c r="CX22" s="80"/>
      <c r="CY22" s="80"/>
      <c r="CZ22" s="80"/>
      <c r="DA22" s="80"/>
      <c r="DB22" s="80"/>
      <c r="DC22" s="80"/>
      <c r="DD22" s="80"/>
      <c r="DE22" s="80"/>
      <c r="DF22" s="80"/>
      <c r="DG22" s="80"/>
    </row>
    <row r="23" spans="2:112" s="74" customFormat="1" ht="23.25" customHeight="1" thickBot="1" x14ac:dyDescent="0.35">
      <c r="B23" s="176">
        <v>19</v>
      </c>
      <c r="C23" s="175"/>
      <c r="D23" s="178"/>
      <c r="E23" s="176">
        <v>69</v>
      </c>
      <c r="F23" s="175"/>
      <c r="G23" s="181"/>
      <c r="H23" s="182">
        <v>119</v>
      </c>
      <c r="I23" s="175"/>
      <c r="J23" s="181"/>
      <c r="K23" s="182">
        <v>169</v>
      </c>
      <c r="L23" s="175"/>
      <c r="M23" s="107"/>
      <c r="N23" s="150"/>
      <c r="O23" s="147"/>
      <c r="P23" s="250"/>
      <c r="Q23" s="251"/>
      <c r="R23" s="252"/>
      <c r="V23" s="75"/>
      <c r="W23" s="75"/>
      <c r="X23" s="75"/>
      <c r="Y23" s="76"/>
      <c r="Z23" s="108"/>
      <c r="AA23" s="4"/>
      <c r="AB23" s="4"/>
      <c r="AC23" s="4"/>
      <c r="AD23" s="4"/>
      <c r="AE23" s="4"/>
      <c r="AF23" s="4"/>
      <c r="AG23" s="4"/>
      <c r="AH23" s="81"/>
      <c r="AI23" s="81"/>
      <c r="AJ23" s="81"/>
      <c r="AK23" s="81"/>
      <c r="AL23" s="81"/>
      <c r="AM23" s="81"/>
      <c r="AN23" s="81"/>
      <c r="AO23" s="4"/>
      <c r="AP23" s="4"/>
      <c r="AQ23" s="4"/>
      <c r="AR23" s="4"/>
      <c r="AS23" s="4"/>
      <c r="AT23" s="4"/>
      <c r="AU23" s="246"/>
      <c r="AV23" s="246"/>
      <c r="AW23" s="246"/>
      <c r="AX23" s="4"/>
      <c r="AY23" s="4"/>
      <c r="AZ23" s="4"/>
      <c r="BA23" s="5"/>
      <c r="BB23" s="85"/>
      <c r="BC23" s="6"/>
      <c r="BD23" s="7"/>
      <c r="BE23" s="8"/>
      <c r="BF23" s="9"/>
      <c r="BG23" s="10"/>
      <c r="BH23" s="11"/>
      <c r="BI23" s="10"/>
      <c r="BJ23" s="12"/>
      <c r="BK23" s="4"/>
      <c r="BL23" s="4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80"/>
      <c r="CF23" s="80"/>
      <c r="CG23" s="80"/>
      <c r="CH23" s="80"/>
      <c r="CI23" s="80"/>
      <c r="CJ23" s="80"/>
      <c r="CK23" s="80"/>
      <c r="CL23" s="80"/>
      <c r="CM23" s="80"/>
      <c r="CN23" s="80"/>
      <c r="CO23" s="80"/>
      <c r="CP23" s="80"/>
      <c r="CQ23" s="80"/>
      <c r="CR23" s="80"/>
      <c r="CS23" s="80"/>
      <c r="CT23" s="80"/>
      <c r="CU23" s="80"/>
      <c r="CV23" s="80"/>
      <c r="CW23" s="80"/>
      <c r="CX23" s="80"/>
      <c r="CY23" s="80"/>
      <c r="CZ23" s="80"/>
      <c r="DA23" s="80"/>
      <c r="DB23" s="80"/>
      <c r="DC23" s="80"/>
      <c r="DD23" s="80"/>
      <c r="DE23" s="80"/>
      <c r="DF23" s="80"/>
      <c r="DG23" s="80"/>
    </row>
    <row r="24" spans="2:112" s="74" customFormat="1" ht="19.5" thickBot="1" x14ac:dyDescent="0.3">
      <c r="B24" s="176">
        <v>20</v>
      </c>
      <c r="C24" s="175"/>
      <c r="D24" s="178"/>
      <c r="E24" s="176">
        <v>70</v>
      </c>
      <c r="F24" s="175"/>
      <c r="G24" s="181"/>
      <c r="H24" s="182">
        <v>120</v>
      </c>
      <c r="I24" s="175"/>
      <c r="J24" s="181"/>
      <c r="K24" s="182">
        <v>170</v>
      </c>
      <c r="L24" s="175"/>
      <c r="M24" s="107"/>
      <c r="N24" s="56"/>
      <c r="O24" s="51"/>
      <c r="P24" s="51"/>
      <c r="W24" s="75"/>
      <c r="X24" s="75"/>
      <c r="Y24" s="75"/>
      <c r="Z24" s="108"/>
      <c r="AA24" s="4"/>
      <c r="AB24" s="4"/>
      <c r="AC24" s="4"/>
      <c r="AD24" s="4"/>
      <c r="AE24" s="4"/>
      <c r="AF24" s="4"/>
      <c r="AG24" s="4"/>
      <c r="AH24" s="4"/>
      <c r="AI24" s="81"/>
      <c r="AJ24" s="81"/>
      <c r="AK24" s="81"/>
      <c r="AL24" s="81"/>
      <c r="AM24" s="81"/>
      <c r="AN24" s="81"/>
      <c r="AO24" s="81"/>
      <c r="AP24" s="4"/>
      <c r="AQ24" s="4"/>
      <c r="AR24" s="4"/>
      <c r="AS24" s="4"/>
      <c r="AT24" s="4"/>
      <c r="AU24" s="4"/>
      <c r="AV24" s="13"/>
      <c r="AW24" s="83"/>
      <c r="AX24" s="13"/>
      <c r="AY24" s="4"/>
      <c r="AZ24" s="4"/>
      <c r="BA24" s="4"/>
      <c r="BB24" s="5"/>
      <c r="BC24" s="85"/>
      <c r="BD24" s="6"/>
      <c r="BE24" s="7"/>
      <c r="BF24" s="8"/>
      <c r="BG24" s="9"/>
      <c r="BH24" s="10"/>
      <c r="BI24" s="11"/>
      <c r="BJ24" s="10"/>
      <c r="BK24" s="12"/>
      <c r="BL24" s="4"/>
      <c r="BM24" s="4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80"/>
      <c r="CF24" s="80"/>
      <c r="CG24" s="80"/>
      <c r="CH24" s="80"/>
      <c r="CI24" s="80"/>
      <c r="CJ24" s="80"/>
      <c r="CK24" s="80"/>
      <c r="CL24" s="80"/>
      <c r="CM24" s="80"/>
      <c r="CN24" s="80"/>
      <c r="CO24" s="80"/>
      <c r="CP24" s="80"/>
      <c r="CQ24" s="80"/>
      <c r="CR24" s="80"/>
      <c r="CS24" s="80"/>
      <c r="CT24" s="80"/>
      <c r="CU24" s="80"/>
      <c r="CV24" s="80"/>
      <c r="CW24" s="80"/>
      <c r="CX24" s="80"/>
      <c r="CY24" s="80"/>
      <c r="CZ24" s="80"/>
      <c r="DA24" s="80"/>
      <c r="DB24" s="80"/>
      <c r="DC24" s="80"/>
      <c r="DD24" s="80"/>
      <c r="DE24" s="80"/>
      <c r="DF24" s="80"/>
      <c r="DG24" s="80"/>
      <c r="DH24" s="80"/>
    </row>
    <row r="25" spans="2:112" s="74" customFormat="1" ht="23.25" x14ac:dyDescent="0.25">
      <c r="B25" s="176">
        <v>21</v>
      </c>
      <c r="C25" s="175"/>
      <c r="D25" s="178"/>
      <c r="E25" s="176">
        <v>71</v>
      </c>
      <c r="F25" s="175"/>
      <c r="G25" s="181"/>
      <c r="H25" s="182">
        <v>121</v>
      </c>
      <c r="I25" s="175"/>
      <c r="J25" s="181"/>
      <c r="K25" s="182">
        <v>171</v>
      </c>
      <c r="L25" s="175"/>
      <c r="M25" s="107"/>
      <c r="N25" s="146" t="s">
        <v>121</v>
      </c>
      <c r="O25" s="137"/>
      <c r="P25" s="239"/>
      <c r="Q25" s="240"/>
      <c r="R25" s="241"/>
      <c r="W25" s="75"/>
      <c r="X25" s="75"/>
      <c r="Y25" s="75"/>
      <c r="Z25" s="108"/>
      <c r="AA25" s="4"/>
      <c r="AB25" s="4"/>
      <c r="AC25" s="4"/>
      <c r="AD25" s="4"/>
      <c r="AE25" s="4"/>
      <c r="AF25" s="4"/>
      <c r="AG25" s="4"/>
      <c r="AH25" s="4"/>
      <c r="AI25" s="81"/>
      <c r="AJ25" s="81"/>
      <c r="AK25" s="81"/>
      <c r="AL25" s="81"/>
      <c r="AM25" s="81"/>
      <c r="AN25" s="81"/>
      <c r="AO25" s="81"/>
      <c r="AP25" s="4"/>
      <c r="AQ25" s="4"/>
      <c r="AR25" s="4"/>
      <c r="AS25" s="4"/>
      <c r="AT25" s="4"/>
      <c r="AU25" s="4"/>
      <c r="AV25" s="13"/>
      <c r="AW25" s="83"/>
      <c r="AX25" s="13"/>
      <c r="AY25" s="4"/>
      <c r="AZ25" s="4"/>
      <c r="BA25" s="4"/>
      <c r="BB25" s="5"/>
      <c r="BC25" s="85"/>
      <c r="BD25" s="6"/>
      <c r="BE25" s="7"/>
      <c r="BF25" s="8"/>
      <c r="BG25" s="9"/>
      <c r="BH25" s="10"/>
      <c r="BI25" s="11"/>
      <c r="BJ25" s="10"/>
      <c r="BK25" s="12"/>
      <c r="BL25" s="4"/>
      <c r="BM25" s="4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80"/>
      <c r="CF25" s="80"/>
      <c r="CG25" s="80"/>
      <c r="CH25" s="80"/>
      <c r="CI25" s="80"/>
      <c r="CJ25" s="80"/>
      <c r="CK25" s="80"/>
      <c r="CL25" s="80"/>
      <c r="CM25" s="80"/>
      <c r="CN25" s="80"/>
      <c r="CO25" s="80"/>
      <c r="CP25" s="80"/>
      <c r="CQ25" s="80"/>
      <c r="CR25" s="80"/>
      <c r="CS25" s="80"/>
      <c r="CT25" s="80"/>
      <c r="CU25" s="80"/>
      <c r="CV25" s="80"/>
      <c r="CW25" s="80"/>
      <c r="CX25" s="80"/>
      <c r="CY25" s="80"/>
      <c r="CZ25" s="80"/>
      <c r="DA25" s="80"/>
      <c r="DB25" s="80"/>
      <c r="DC25" s="80"/>
      <c r="DD25" s="80"/>
      <c r="DE25" s="80"/>
      <c r="DF25" s="80"/>
      <c r="DG25" s="80"/>
      <c r="DH25" s="80"/>
    </row>
    <row r="26" spans="2:112" s="74" customFormat="1" ht="24" thickBot="1" x14ac:dyDescent="0.3">
      <c r="B26" s="176">
        <v>22</v>
      </c>
      <c r="C26" s="175"/>
      <c r="D26" s="178"/>
      <c r="E26" s="176">
        <v>72</v>
      </c>
      <c r="F26" s="175"/>
      <c r="G26" s="181"/>
      <c r="H26" s="182">
        <v>122</v>
      </c>
      <c r="I26" s="175"/>
      <c r="J26" s="181"/>
      <c r="K26" s="182">
        <v>172</v>
      </c>
      <c r="L26" s="175"/>
      <c r="M26" s="107"/>
      <c r="N26" s="141" t="s">
        <v>122</v>
      </c>
      <c r="O26" s="147"/>
      <c r="P26" s="257"/>
      <c r="Q26" s="258"/>
      <c r="R26" s="259"/>
      <c r="W26" s="75"/>
      <c r="X26" s="75"/>
      <c r="Y26" s="75"/>
      <c r="Z26" s="108"/>
      <c r="AA26" s="4"/>
      <c r="AB26" s="4"/>
      <c r="AC26" s="4"/>
      <c r="AD26" s="4"/>
      <c r="AE26" s="4"/>
      <c r="AF26" s="4"/>
      <c r="AG26" s="4"/>
      <c r="AH26" s="4"/>
      <c r="AI26" s="81"/>
      <c r="AJ26" s="81"/>
      <c r="AK26" s="81"/>
      <c r="AL26" s="81"/>
      <c r="AM26" s="81"/>
      <c r="AN26" s="81"/>
      <c r="AO26" s="81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5"/>
      <c r="BC26" s="85"/>
      <c r="BD26" s="6"/>
      <c r="BE26" s="7"/>
      <c r="BF26" s="8"/>
      <c r="BG26" s="9"/>
      <c r="BH26" s="10"/>
      <c r="BI26" s="11"/>
      <c r="BJ26" s="10"/>
      <c r="BK26" s="12"/>
      <c r="BL26" s="4"/>
      <c r="BM26" s="4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80"/>
      <c r="CF26" s="80"/>
      <c r="CG26" s="80"/>
      <c r="CH26" s="80"/>
      <c r="CI26" s="80"/>
      <c r="CJ26" s="80"/>
      <c r="CK26" s="80"/>
      <c r="CL26" s="80"/>
      <c r="CM26" s="80"/>
      <c r="CN26" s="80"/>
      <c r="CO26" s="80"/>
      <c r="CP26" s="80"/>
      <c r="CQ26" s="80"/>
      <c r="CR26" s="80"/>
      <c r="CS26" s="80"/>
      <c r="CT26" s="80"/>
      <c r="CU26" s="80"/>
      <c r="CV26" s="80"/>
      <c r="CW26" s="80"/>
      <c r="CX26" s="80"/>
      <c r="CY26" s="80"/>
      <c r="CZ26" s="80"/>
      <c r="DA26" s="80"/>
      <c r="DB26" s="80"/>
      <c r="DC26" s="80"/>
      <c r="DD26" s="80"/>
      <c r="DE26" s="80"/>
      <c r="DF26" s="80"/>
      <c r="DG26" s="80"/>
      <c r="DH26" s="80"/>
    </row>
    <row r="27" spans="2:112" s="74" customFormat="1" x14ac:dyDescent="0.25">
      <c r="B27" s="176">
        <v>23</v>
      </c>
      <c r="C27" s="175"/>
      <c r="D27" s="178"/>
      <c r="E27" s="176">
        <v>73</v>
      </c>
      <c r="F27" s="175"/>
      <c r="G27" s="181"/>
      <c r="H27" s="182">
        <v>123</v>
      </c>
      <c r="I27" s="175"/>
      <c r="J27" s="181"/>
      <c r="K27" s="182">
        <v>173</v>
      </c>
      <c r="L27" s="175"/>
      <c r="M27" s="107"/>
      <c r="N27" s="56"/>
      <c r="O27" s="51"/>
      <c r="P27" s="51"/>
      <c r="W27" s="75"/>
      <c r="X27" s="75"/>
      <c r="Y27" s="75"/>
      <c r="Z27" s="108"/>
      <c r="AA27" s="4"/>
      <c r="AB27" s="4"/>
      <c r="AC27" s="4"/>
      <c r="AD27" s="4"/>
      <c r="AE27" s="4"/>
      <c r="AF27" s="4"/>
      <c r="AG27" s="4"/>
      <c r="AH27" s="4"/>
      <c r="AI27" s="81"/>
      <c r="AJ27" s="81"/>
      <c r="AK27" s="81"/>
      <c r="AL27" s="81"/>
      <c r="AM27" s="81"/>
      <c r="AN27" s="81"/>
      <c r="AO27" s="81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5"/>
      <c r="BC27" s="85"/>
      <c r="BD27" s="6"/>
      <c r="BE27" s="7"/>
      <c r="BF27" s="8"/>
      <c r="BG27" s="9"/>
      <c r="BH27" s="10"/>
      <c r="BI27" s="11"/>
      <c r="BJ27" s="10"/>
      <c r="BK27" s="12"/>
      <c r="BL27" s="4"/>
      <c r="BM27" s="4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80"/>
      <c r="CF27" s="80"/>
      <c r="CG27" s="80"/>
      <c r="CH27" s="80"/>
      <c r="CI27" s="80"/>
      <c r="CJ27" s="80"/>
      <c r="CK27" s="80"/>
      <c r="CL27" s="80"/>
      <c r="CM27" s="80"/>
      <c r="CN27" s="80"/>
      <c r="CO27" s="80"/>
      <c r="CP27" s="80"/>
      <c r="CQ27" s="80"/>
      <c r="CR27" s="80"/>
      <c r="CS27" s="80"/>
      <c r="CT27" s="80"/>
      <c r="CU27" s="80"/>
      <c r="CV27" s="80"/>
      <c r="CW27" s="80"/>
      <c r="CX27" s="80"/>
      <c r="CY27" s="80"/>
      <c r="CZ27" s="80"/>
      <c r="DA27" s="80"/>
      <c r="DB27" s="80"/>
      <c r="DC27" s="80"/>
      <c r="DD27" s="80"/>
      <c r="DE27" s="80"/>
      <c r="DF27" s="80"/>
      <c r="DG27" s="80"/>
      <c r="DH27" s="80"/>
    </row>
    <row r="28" spans="2:112" s="74" customFormat="1" ht="19.5" thickBot="1" x14ac:dyDescent="0.3">
      <c r="B28" s="176">
        <v>24</v>
      </c>
      <c r="C28" s="175"/>
      <c r="D28" s="178"/>
      <c r="E28" s="176">
        <v>74</v>
      </c>
      <c r="F28" s="175"/>
      <c r="G28" s="181"/>
      <c r="H28" s="182">
        <v>124</v>
      </c>
      <c r="I28" s="175"/>
      <c r="J28" s="181"/>
      <c r="K28" s="182">
        <v>174</v>
      </c>
      <c r="L28" s="175"/>
      <c r="M28" s="107"/>
      <c r="N28" s="56"/>
      <c r="O28" s="51"/>
      <c r="P28" s="51"/>
      <c r="W28" s="75"/>
      <c r="X28" s="75"/>
      <c r="Y28" s="75"/>
      <c r="Z28" s="108"/>
      <c r="AA28" s="4"/>
      <c r="AB28" s="4"/>
      <c r="AC28" s="4"/>
      <c r="AD28" s="4"/>
      <c r="AE28" s="4"/>
      <c r="AF28" s="4"/>
      <c r="AG28" s="4"/>
      <c r="AH28" s="4"/>
      <c r="AI28" s="81"/>
      <c r="AJ28" s="81"/>
      <c r="AK28" s="81"/>
      <c r="AL28" s="81"/>
      <c r="AM28" s="81"/>
      <c r="AN28" s="81"/>
      <c r="AO28" s="81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5"/>
      <c r="BC28" s="85"/>
      <c r="BD28" s="6"/>
      <c r="BE28" s="7"/>
      <c r="BF28" s="8"/>
      <c r="BG28" s="9"/>
      <c r="BH28" s="10"/>
      <c r="BI28" s="11"/>
      <c r="BJ28" s="10"/>
      <c r="BK28" s="12"/>
      <c r="BL28" s="4"/>
      <c r="BM28" s="4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80"/>
      <c r="CF28" s="80"/>
      <c r="CG28" s="80"/>
      <c r="CH28" s="80"/>
      <c r="CI28" s="80"/>
      <c r="CJ28" s="80"/>
      <c r="CK28" s="80"/>
      <c r="CL28" s="80"/>
      <c r="CM28" s="80"/>
      <c r="CN28" s="80"/>
      <c r="CO28" s="80"/>
      <c r="CP28" s="80"/>
      <c r="CQ28" s="80"/>
      <c r="CR28" s="80"/>
      <c r="CS28" s="80"/>
      <c r="CT28" s="80"/>
      <c r="CU28" s="80"/>
      <c r="CV28" s="80"/>
      <c r="CW28" s="80"/>
      <c r="CX28" s="80"/>
      <c r="CY28" s="80"/>
      <c r="CZ28" s="80"/>
      <c r="DA28" s="80"/>
      <c r="DB28" s="80"/>
      <c r="DC28" s="80"/>
      <c r="DD28" s="80"/>
      <c r="DE28" s="80"/>
      <c r="DF28" s="80"/>
      <c r="DG28" s="80"/>
      <c r="DH28" s="80"/>
    </row>
    <row r="29" spans="2:112" s="74" customFormat="1" x14ac:dyDescent="0.25">
      <c r="B29" s="176">
        <v>25</v>
      </c>
      <c r="C29" s="175"/>
      <c r="D29" s="178"/>
      <c r="E29" s="176">
        <v>75</v>
      </c>
      <c r="F29" s="175"/>
      <c r="G29" s="181"/>
      <c r="H29" s="182">
        <v>125</v>
      </c>
      <c r="I29" s="175"/>
      <c r="J29" s="181"/>
      <c r="K29" s="182">
        <v>175</v>
      </c>
      <c r="L29" s="175"/>
      <c r="M29" s="107"/>
      <c r="N29" s="146"/>
      <c r="O29" s="136"/>
      <c r="P29" s="124" t="str">
        <f>IF(P30&gt;=125,R31,Q31)</f>
        <v>MFU</v>
      </c>
      <c r="Q29" s="260" t="s">
        <v>126</v>
      </c>
      <c r="R29" s="261"/>
      <c r="W29" s="75"/>
      <c r="X29" s="75"/>
      <c r="Y29" s="75"/>
      <c r="Z29" s="108"/>
      <c r="AA29" s="4"/>
      <c r="AB29" s="4"/>
      <c r="AC29" s="4"/>
      <c r="AD29" s="4"/>
      <c r="AE29" s="4"/>
      <c r="AF29" s="4"/>
      <c r="AG29" s="4"/>
      <c r="AH29" s="4"/>
      <c r="AI29" s="81"/>
      <c r="AJ29" s="81"/>
      <c r="AK29" s="81"/>
      <c r="AL29" s="81"/>
      <c r="AM29" s="81"/>
      <c r="AN29" s="81"/>
      <c r="AO29" s="81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5"/>
      <c r="BC29" s="85"/>
      <c r="BD29" s="6"/>
      <c r="BE29" s="7"/>
      <c r="BF29" s="8"/>
      <c r="BG29" s="9"/>
      <c r="BH29" s="10"/>
      <c r="BI29" s="11"/>
      <c r="BJ29" s="10"/>
      <c r="BK29" s="12"/>
      <c r="BL29" s="4"/>
      <c r="BM29" s="4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80"/>
      <c r="CF29" s="80"/>
      <c r="CG29" s="80"/>
      <c r="CH29" s="80"/>
      <c r="CI29" s="80"/>
      <c r="CJ29" s="80"/>
      <c r="CK29" s="80"/>
      <c r="CL29" s="80"/>
      <c r="CM29" s="80"/>
      <c r="CN29" s="80"/>
      <c r="CO29" s="80"/>
      <c r="CP29" s="80"/>
      <c r="CQ29" s="80"/>
      <c r="CR29" s="80"/>
      <c r="CS29" s="80"/>
      <c r="CT29" s="80"/>
      <c r="CU29" s="80"/>
      <c r="CV29" s="80"/>
      <c r="CW29" s="80"/>
      <c r="CX29" s="80"/>
      <c r="CY29" s="80"/>
      <c r="CZ29" s="80"/>
      <c r="DA29" s="80"/>
      <c r="DB29" s="80"/>
      <c r="DC29" s="80"/>
      <c r="DD29" s="80"/>
      <c r="DE29" s="80"/>
      <c r="DF29" s="80"/>
      <c r="DG29" s="80"/>
      <c r="DH29" s="80"/>
    </row>
    <row r="30" spans="2:112" s="74" customFormat="1" x14ac:dyDescent="0.25">
      <c r="B30" s="176">
        <v>26</v>
      </c>
      <c r="C30" s="175"/>
      <c r="D30" s="178"/>
      <c r="E30" s="176">
        <v>76</v>
      </c>
      <c r="F30" s="175"/>
      <c r="G30" s="181"/>
      <c r="H30" s="182">
        <v>126</v>
      </c>
      <c r="I30" s="175"/>
      <c r="J30" s="181"/>
      <c r="K30" s="182">
        <v>176</v>
      </c>
      <c r="L30" s="175"/>
      <c r="M30" s="107"/>
      <c r="N30" s="242" t="s">
        <v>123</v>
      </c>
      <c r="O30" s="243"/>
      <c r="P30" s="125">
        <f>Anzahl</f>
        <v>0</v>
      </c>
      <c r="Q30" s="262"/>
      <c r="R30" s="263"/>
      <c r="W30" s="75"/>
      <c r="X30" s="75"/>
      <c r="Y30" s="75"/>
      <c r="Z30" s="108"/>
      <c r="AA30" s="4"/>
      <c r="AB30" s="4"/>
      <c r="AC30" s="4"/>
      <c r="AD30" s="4"/>
      <c r="AE30" s="4"/>
      <c r="AF30" s="4"/>
      <c r="AG30" s="4"/>
      <c r="AH30" s="4"/>
      <c r="AI30" s="81"/>
      <c r="AJ30" s="81"/>
      <c r="AK30" s="81"/>
      <c r="AL30" s="81"/>
      <c r="AM30" s="81"/>
      <c r="AN30" s="81"/>
      <c r="AO30" s="81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5"/>
      <c r="BC30" s="85"/>
      <c r="BD30" s="6"/>
      <c r="BE30" s="7"/>
      <c r="BF30" s="8"/>
      <c r="BG30" s="9"/>
      <c r="BH30" s="10"/>
      <c r="BI30" s="11"/>
      <c r="BJ30" s="10"/>
      <c r="BK30" s="12"/>
      <c r="BL30" s="4"/>
      <c r="BM30" s="4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80"/>
      <c r="CF30" s="80"/>
      <c r="CG30" s="80"/>
      <c r="CH30" s="80"/>
      <c r="CI30" s="80"/>
      <c r="CJ30" s="80"/>
      <c r="CK30" s="80"/>
      <c r="CL30" s="80"/>
      <c r="CM30" s="80"/>
      <c r="CN30" s="80"/>
      <c r="CO30" s="80"/>
      <c r="CP30" s="80"/>
      <c r="CQ30" s="80"/>
      <c r="CR30" s="80"/>
      <c r="CS30" s="80"/>
      <c r="CT30" s="80"/>
      <c r="CU30" s="80"/>
      <c r="CV30" s="80"/>
      <c r="CW30" s="80"/>
      <c r="CX30" s="80"/>
      <c r="CY30" s="80"/>
      <c r="CZ30" s="80"/>
      <c r="DA30" s="80"/>
      <c r="DB30" s="80"/>
      <c r="DC30" s="80"/>
      <c r="DD30" s="80"/>
      <c r="DE30" s="80"/>
      <c r="DF30" s="80"/>
      <c r="DG30" s="80"/>
      <c r="DH30" s="80"/>
    </row>
    <row r="31" spans="2:112" s="74" customFormat="1" x14ac:dyDescent="0.25">
      <c r="B31" s="176">
        <v>27</v>
      </c>
      <c r="C31" s="175"/>
      <c r="D31" s="178"/>
      <c r="E31" s="176">
        <v>77</v>
      </c>
      <c r="F31" s="175"/>
      <c r="G31" s="181"/>
      <c r="H31" s="182">
        <v>127</v>
      </c>
      <c r="I31" s="175"/>
      <c r="J31" s="181"/>
      <c r="K31" s="182">
        <v>177</v>
      </c>
      <c r="L31" s="175"/>
      <c r="M31" s="107"/>
      <c r="N31" s="242" t="s">
        <v>124</v>
      </c>
      <c r="O31" s="243"/>
      <c r="P31" s="126" t="e">
        <f>Mittelwert</f>
        <v>#DIV/0!</v>
      </c>
      <c r="Q31" s="119" t="s">
        <v>90</v>
      </c>
      <c r="R31" s="171" t="s">
        <v>91</v>
      </c>
      <c r="W31" s="75"/>
      <c r="X31" s="75"/>
      <c r="Y31" s="75"/>
      <c r="Z31" s="108"/>
      <c r="AA31" s="4"/>
      <c r="AB31" s="4"/>
      <c r="AC31" s="4"/>
      <c r="AD31" s="4"/>
      <c r="AE31" s="4"/>
      <c r="AF31" s="4"/>
      <c r="AG31" s="4"/>
      <c r="AH31" s="4"/>
      <c r="AI31" s="81"/>
      <c r="AJ31" s="81"/>
      <c r="AK31" s="81"/>
      <c r="AL31" s="81"/>
      <c r="AM31" s="81"/>
      <c r="AN31" s="81"/>
      <c r="AO31" s="81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5"/>
      <c r="BC31" s="85"/>
      <c r="BD31" s="6"/>
      <c r="BE31" s="7"/>
      <c r="BF31" s="8"/>
      <c r="BG31" s="9"/>
      <c r="BH31" s="10"/>
      <c r="BI31" s="11"/>
      <c r="BJ31" s="10"/>
      <c r="BK31" s="12"/>
      <c r="BL31" s="4"/>
      <c r="BM31" s="4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80"/>
      <c r="CF31" s="80"/>
      <c r="CG31" s="80"/>
      <c r="CH31" s="80"/>
      <c r="CI31" s="80"/>
      <c r="CJ31" s="80"/>
      <c r="CK31" s="80"/>
      <c r="CL31" s="80"/>
      <c r="CM31" s="80"/>
      <c r="CN31" s="80"/>
      <c r="CO31" s="80"/>
      <c r="CP31" s="80"/>
      <c r="CQ31" s="80"/>
      <c r="CR31" s="80"/>
      <c r="CS31" s="80"/>
      <c r="CT31" s="80"/>
      <c r="CU31" s="80"/>
      <c r="CV31" s="80"/>
      <c r="CW31" s="80"/>
      <c r="CX31" s="80"/>
      <c r="CY31" s="80"/>
      <c r="CZ31" s="80"/>
      <c r="DA31" s="80"/>
      <c r="DB31" s="80"/>
      <c r="DC31" s="80"/>
      <c r="DD31" s="80"/>
      <c r="DE31" s="80"/>
      <c r="DF31" s="80"/>
      <c r="DG31" s="80"/>
      <c r="DH31" s="80"/>
    </row>
    <row r="32" spans="2:112" s="74" customFormat="1" ht="19.5" thickBot="1" x14ac:dyDescent="0.3">
      <c r="B32" s="176">
        <v>28</v>
      </c>
      <c r="C32" s="175"/>
      <c r="D32" s="178"/>
      <c r="E32" s="176">
        <v>78</v>
      </c>
      <c r="F32" s="175"/>
      <c r="G32" s="181"/>
      <c r="H32" s="182">
        <v>128</v>
      </c>
      <c r="I32" s="175"/>
      <c r="J32" s="181"/>
      <c r="K32" s="182">
        <v>178</v>
      </c>
      <c r="L32" s="175"/>
      <c r="M32" s="107"/>
      <c r="N32" s="244" t="s">
        <v>125</v>
      </c>
      <c r="O32" s="245"/>
      <c r="P32" s="127" t="e">
        <f>Standardabweichung</f>
        <v>#DIV/0!</v>
      </c>
      <c r="Q32" s="128">
        <f>50</f>
        <v>50</v>
      </c>
      <c r="R32" s="172" t="s">
        <v>92</v>
      </c>
      <c r="W32" s="75"/>
      <c r="X32" s="75"/>
      <c r="Y32" s="75"/>
      <c r="Z32" s="108"/>
      <c r="AA32" s="4"/>
      <c r="AB32" s="4"/>
      <c r="AC32" s="4"/>
      <c r="AD32" s="4"/>
      <c r="AE32" s="4"/>
      <c r="AF32" s="4"/>
      <c r="AG32" s="4"/>
      <c r="AH32" s="4"/>
      <c r="AI32" s="81"/>
      <c r="AJ32" s="81"/>
      <c r="AK32" s="81"/>
      <c r="AL32" s="81"/>
      <c r="AM32" s="81"/>
      <c r="AN32" s="81"/>
      <c r="AO32" s="81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5"/>
      <c r="BC32" s="85"/>
      <c r="BD32" s="6"/>
      <c r="BE32" s="7"/>
      <c r="BF32" s="8"/>
      <c r="BG32" s="9"/>
      <c r="BH32" s="10"/>
      <c r="BI32" s="11"/>
      <c r="BJ32" s="10"/>
      <c r="BK32" s="12"/>
      <c r="BL32" s="4"/>
      <c r="BM32" s="4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80"/>
      <c r="CF32" s="80"/>
      <c r="CG32" s="80"/>
      <c r="CH32" s="80"/>
      <c r="CI32" s="80"/>
      <c r="CJ32" s="80"/>
      <c r="CK32" s="80"/>
      <c r="CL32" s="80"/>
      <c r="CM32" s="80"/>
      <c r="CN32" s="80"/>
      <c r="CO32" s="80"/>
      <c r="CP32" s="80"/>
      <c r="CQ32" s="80"/>
      <c r="CR32" s="80"/>
      <c r="CS32" s="80"/>
      <c r="CT32" s="80"/>
      <c r="CU32" s="80"/>
      <c r="CV32" s="80"/>
      <c r="CW32" s="80"/>
      <c r="CX32" s="80"/>
      <c r="CY32" s="80"/>
      <c r="CZ32" s="80"/>
      <c r="DA32" s="80"/>
      <c r="DB32" s="80"/>
      <c r="DC32" s="80"/>
      <c r="DD32" s="80"/>
      <c r="DE32" s="80"/>
      <c r="DF32" s="80"/>
      <c r="DG32" s="80"/>
      <c r="DH32" s="80"/>
    </row>
    <row r="33" spans="2:112" s="74" customFormat="1" ht="19.5" thickBot="1" x14ac:dyDescent="0.3">
      <c r="B33" s="176">
        <v>29</v>
      </c>
      <c r="C33" s="175"/>
      <c r="D33" s="178"/>
      <c r="E33" s="176">
        <v>79</v>
      </c>
      <c r="F33" s="175"/>
      <c r="G33" s="181"/>
      <c r="H33" s="182">
        <v>129</v>
      </c>
      <c r="I33" s="175"/>
      <c r="J33" s="181"/>
      <c r="K33" s="182">
        <v>179</v>
      </c>
      <c r="L33" s="175"/>
      <c r="M33" s="107"/>
      <c r="N33" s="56"/>
      <c r="O33" s="115"/>
      <c r="P33" s="109"/>
      <c r="W33" s="75"/>
      <c r="X33" s="75"/>
      <c r="Y33" s="75"/>
      <c r="Z33" s="108"/>
      <c r="AA33" s="4"/>
      <c r="AB33" s="4"/>
      <c r="AC33" s="4"/>
      <c r="AD33" s="4"/>
      <c r="AE33" s="4"/>
      <c r="AF33" s="4"/>
      <c r="AG33" s="4"/>
      <c r="AH33" s="4"/>
      <c r="AI33" s="81"/>
      <c r="AJ33" s="81"/>
      <c r="AK33" s="81"/>
      <c r="AL33" s="81"/>
      <c r="AM33" s="81"/>
      <c r="AN33" s="81"/>
      <c r="AO33" s="81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5"/>
      <c r="BC33" s="85"/>
      <c r="BD33" s="6"/>
      <c r="BE33" s="7"/>
      <c r="BF33" s="8"/>
      <c r="BG33" s="9"/>
      <c r="BH33" s="10"/>
      <c r="BI33" s="11"/>
      <c r="BJ33" s="10"/>
      <c r="BK33" s="12"/>
      <c r="BL33" s="4"/>
      <c r="BM33" s="4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80"/>
      <c r="CF33" s="80"/>
      <c r="CG33" s="80"/>
      <c r="CH33" s="80"/>
      <c r="CI33" s="80"/>
      <c r="CJ33" s="80"/>
      <c r="CK33" s="80"/>
      <c r="CL33" s="80"/>
      <c r="CM33" s="80"/>
      <c r="CN33" s="80"/>
      <c r="CO33" s="80"/>
      <c r="CP33" s="80"/>
      <c r="CQ33" s="80"/>
      <c r="CR33" s="80"/>
      <c r="CS33" s="80"/>
      <c r="CT33" s="80"/>
      <c r="CU33" s="80"/>
      <c r="CV33" s="80"/>
      <c r="CW33" s="80"/>
      <c r="CX33" s="80"/>
      <c r="CY33" s="80"/>
      <c r="CZ33" s="80"/>
      <c r="DA33" s="80"/>
      <c r="DB33" s="80"/>
      <c r="DC33" s="80"/>
      <c r="DD33" s="80"/>
      <c r="DE33" s="80"/>
      <c r="DF33" s="80"/>
      <c r="DG33" s="80"/>
      <c r="DH33" s="80"/>
    </row>
    <row r="34" spans="2:112" s="74" customFormat="1" ht="24.6" customHeight="1" x14ac:dyDescent="0.25">
      <c r="B34" s="176">
        <v>30</v>
      </c>
      <c r="C34" s="175"/>
      <c r="D34" s="178"/>
      <c r="E34" s="176">
        <v>80</v>
      </c>
      <c r="F34" s="175"/>
      <c r="G34" s="181"/>
      <c r="H34" s="182">
        <v>130</v>
      </c>
      <c r="I34" s="175"/>
      <c r="J34" s="181"/>
      <c r="K34" s="182">
        <v>180</v>
      </c>
      <c r="L34" s="175"/>
      <c r="M34" s="107"/>
      <c r="N34" s="253" t="s">
        <v>129</v>
      </c>
      <c r="O34" s="136"/>
      <c r="P34" s="137" t="s">
        <v>93</v>
      </c>
      <c r="Q34" s="267" t="s">
        <v>161</v>
      </c>
      <c r="R34" s="264" t="s">
        <v>160</v>
      </c>
      <c r="W34" s="75"/>
      <c r="X34" s="75"/>
      <c r="Y34" s="75"/>
      <c r="Z34" s="108"/>
      <c r="AA34" s="4"/>
      <c r="AB34" s="4"/>
      <c r="AC34" s="4"/>
      <c r="AD34" s="4"/>
      <c r="AE34" s="4"/>
      <c r="AF34" s="4"/>
      <c r="AG34" s="4"/>
      <c r="AH34" s="4"/>
      <c r="AI34" s="81"/>
      <c r="AJ34" s="81"/>
      <c r="AK34" s="81"/>
      <c r="AL34" s="81"/>
      <c r="AM34" s="81"/>
      <c r="AN34" s="81"/>
      <c r="AO34" s="81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5"/>
      <c r="BC34" s="85"/>
      <c r="BD34" s="6"/>
      <c r="BE34" s="7"/>
      <c r="BF34" s="8"/>
      <c r="BG34" s="9"/>
      <c r="BH34" s="10"/>
      <c r="BI34" s="11"/>
      <c r="BJ34" s="10"/>
      <c r="BK34" s="12"/>
      <c r="BL34" s="4"/>
      <c r="BM34" s="4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80"/>
      <c r="CF34" s="80"/>
      <c r="CG34" s="80"/>
      <c r="CH34" s="80"/>
      <c r="CI34" s="80"/>
      <c r="CJ34" s="80"/>
      <c r="CK34" s="80"/>
      <c r="CL34" s="80"/>
      <c r="CM34" s="80"/>
      <c r="CN34" s="80"/>
      <c r="CO34" s="80"/>
      <c r="CP34" s="80"/>
      <c r="CQ34" s="80"/>
      <c r="CR34" s="80"/>
      <c r="CS34" s="80"/>
      <c r="CT34" s="80"/>
      <c r="CU34" s="80"/>
      <c r="CV34" s="80"/>
      <c r="CW34" s="80"/>
      <c r="CX34" s="80"/>
      <c r="CY34" s="80"/>
      <c r="CZ34" s="80"/>
      <c r="DA34" s="80"/>
      <c r="DB34" s="80"/>
      <c r="DC34" s="80"/>
      <c r="DD34" s="80"/>
      <c r="DE34" s="80"/>
      <c r="DF34" s="80"/>
      <c r="DG34" s="80"/>
      <c r="DH34" s="80"/>
    </row>
    <row r="35" spans="2:112" s="74" customFormat="1" ht="24.6" customHeight="1" x14ac:dyDescent="0.25">
      <c r="B35" s="176">
        <v>31</v>
      </c>
      <c r="C35" s="175"/>
      <c r="D35" s="178"/>
      <c r="E35" s="176">
        <v>81</v>
      </c>
      <c r="F35" s="175"/>
      <c r="G35" s="181"/>
      <c r="H35" s="182">
        <v>131</v>
      </c>
      <c r="I35" s="175"/>
      <c r="J35" s="181"/>
      <c r="K35" s="182">
        <v>181</v>
      </c>
      <c r="L35" s="175"/>
      <c r="M35" s="107"/>
      <c r="N35" s="254"/>
      <c r="O35" s="115" t="str">
        <f>IF(P30&lt;125,Berechnung!O26,Berechnung!N26)</f>
        <v>Cmu</v>
      </c>
      <c r="P35" s="160" t="e">
        <f>CPU</f>
        <v>#DIV/0!</v>
      </c>
      <c r="Q35" s="268"/>
      <c r="R35" s="265"/>
      <c r="W35" s="75"/>
      <c r="X35" s="75"/>
      <c r="Y35" s="75"/>
      <c r="Z35" s="108"/>
      <c r="AA35" s="4"/>
      <c r="AB35" s="4"/>
      <c r="AC35" s="4"/>
      <c r="AD35" s="4"/>
      <c r="AE35" s="4"/>
      <c r="AF35" s="4"/>
      <c r="AG35" s="4"/>
      <c r="AH35" s="4"/>
      <c r="AI35" s="81"/>
      <c r="AJ35" s="81"/>
      <c r="AK35" s="81"/>
      <c r="AL35" s="81"/>
      <c r="AM35" s="81"/>
      <c r="AN35" s="81"/>
      <c r="AO35" s="81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5"/>
      <c r="BC35" s="85"/>
      <c r="BD35" s="6"/>
      <c r="BE35" s="7"/>
      <c r="BF35" s="8"/>
      <c r="BG35" s="9"/>
      <c r="BH35" s="10"/>
      <c r="BI35" s="11"/>
      <c r="BJ35" s="10"/>
      <c r="BK35" s="12"/>
      <c r="BL35" s="4"/>
      <c r="BM35" s="4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80"/>
      <c r="CF35" s="80"/>
      <c r="CG35" s="80"/>
      <c r="CH35" s="80"/>
      <c r="CI35" s="80"/>
      <c r="CJ35" s="80"/>
      <c r="CK35" s="80"/>
      <c r="CL35" s="80"/>
      <c r="CM35" s="80"/>
      <c r="CN35" s="80"/>
      <c r="CO35" s="80"/>
      <c r="CP35" s="80"/>
      <c r="CQ35" s="80"/>
      <c r="CR35" s="80"/>
      <c r="CS35" s="80"/>
      <c r="CT35" s="80"/>
      <c r="CU35" s="80"/>
      <c r="CV35" s="80"/>
      <c r="CW35" s="80"/>
      <c r="CX35" s="80"/>
      <c r="CY35" s="80"/>
      <c r="CZ35" s="80"/>
      <c r="DA35" s="80"/>
      <c r="DB35" s="80"/>
      <c r="DC35" s="80"/>
      <c r="DD35" s="80"/>
      <c r="DE35" s="80"/>
      <c r="DF35" s="80"/>
      <c r="DG35" s="80"/>
      <c r="DH35" s="80"/>
    </row>
    <row r="36" spans="2:112" s="74" customFormat="1" ht="19.5" thickBot="1" x14ac:dyDescent="0.3">
      <c r="B36" s="176">
        <v>32</v>
      </c>
      <c r="C36" s="175"/>
      <c r="D36" s="178"/>
      <c r="E36" s="176">
        <v>82</v>
      </c>
      <c r="F36" s="175"/>
      <c r="G36" s="181"/>
      <c r="H36" s="182">
        <v>132</v>
      </c>
      <c r="I36" s="175"/>
      <c r="J36" s="181"/>
      <c r="K36" s="182">
        <v>182</v>
      </c>
      <c r="L36" s="175"/>
      <c r="M36" s="107"/>
      <c r="N36" s="139"/>
      <c r="O36" s="115" t="str">
        <f>IF(P30&lt;125,Berechnung!O27,Berechnung!N27)</f>
        <v>Cmo</v>
      </c>
      <c r="P36" s="160" t="e">
        <f>CPO</f>
        <v>#DIV/0!</v>
      </c>
      <c r="Q36" s="269"/>
      <c r="R36" s="266"/>
      <c r="W36" s="75"/>
      <c r="X36" s="75"/>
      <c r="Y36" s="75"/>
      <c r="Z36" s="108"/>
      <c r="AA36" s="4"/>
      <c r="AB36" s="4"/>
      <c r="AC36" s="4"/>
      <c r="AD36" s="4"/>
      <c r="AE36" s="4"/>
      <c r="AF36" s="4"/>
      <c r="AG36" s="4"/>
      <c r="AH36" s="4"/>
      <c r="AI36" s="81"/>
      <c r="AJ36" s="81"/>
      <c r="AK36" s="81"/>
      <c r="AL36" s="81"/>
      <c r="AM36" s="81"/>
      <c r="AN36" s="81"/>
      <c r="AO36" s="81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5"/>
      <c r="BC36" s="85"/>
      <c r="BD36" s="6"/>
      <c r="BE36" s="7"/>
      <c r="BF36" s="8"/>
      <c r="BG36" s="9"/>
      <c r="BH36" s="10"/>
      <c r="BI36" s="11"/>
      <c r="BJ36" s="10"/>
      <c r="BK36" s="12"/>
      <c r="BL36" s="4"/>
      <c r="BM36" s="4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80"/>
      <c r="CF36" s="80"/>
      <c r="CG36" s="80"/>
      <c r="CH36" s="80"/>
      <c r="CI36" s="80"/>
      <c r="CJ36" s="80"/>
      <c r="CK36" s="80"/>
      <c r="CL36" s="80"/>
      <c r="CM36" s="80"/>
      <c r="CN36" s="80"/>
      <c r="CO36" s="80"/>
      <c r="CP36" s="80"/>
      <c r="CQ36" s="80"/>
      <c r="CR36" s="80"/>
      <c r="CS36" s="80"/>
      <c r="CT36" s="80"/>
      <c r="CU36" s="80"/>
      <c r="CV36" s="80"/>
      <c r="CW36" s="80"/>
      <c r="CX36" s="80"/>
      <c r="CY36" s="80"/>
      <c r="CZ36" s="80"/>
      <c r="DA36" s="80"/>
      <c r="DB36" s="80"/>
      <c r="DC36" s="80"/>
      <c r="DD36" s="80"/>
      <c r="DE36" s="80"/>
      <c r="DF36" s="80"/>
      <c r="DG36" s="80"/>
      <c r="DH36" s="80"/>
    </row>
    <row r="37" spans="2:112" s="74" customFormat="1" ht="19.5" thickBot="1" x14ac:dyDescent="0.3">
      <c r="B37" s="176">
        <v>33</v>
      </c>
      <c r="C37" s="175"/>
      <c r="D37" s="178"/>
      <c r="E37" s="176">
        <v>83</v>
      </c>
      <c r="F37" s="175"/>
      <c r="G37" s="181"/>
      <c r="H37" s="182">
        <v>133</v>
      </c>
      <c r="I37" s="175"/>
      <c r="J37" s="181"/>
      <c r="K37" s="182">
        <v>183</v>
      </c>
      <c r="L37" s="175"/>
      <c r="M37" s="107"/>
      <c r="N37" s="139"/>
      <c r="O37" s="51" t="str">
        <f>IF(P30&lt;125,Berechnung!O28,Berechnung!N28)</f>
        <v>Cm</v>
      </c>
      <c r="P37" s="161" t="e">
        <f>CP</f>
        <v>#DIV/0!</v>
      </c>
      <c r="Q37" s="255" t="str">
        <f>CONCATENATE("Sollwert / setpoint: ",O38)</f>
        <v>Sollwert / setpoint: Cmk</v>
      </c>
      <c r="R37" s="256"/>
      <c r="W37" s="75"/>
      <c r="X37" s="75"/>
      <c r="Y37" s="75"/>
      <c r="Z37" s="108"/>
      <c r="AA37" s="4"/>
      <c r="AB37" s="4"/>
      <c r="AC37" s="4"/>
      <c r="AD37" s="4"/>
      <c r="AE37" s="4"/>
      <c r="AF37" s="4"/>
      <c r="AG37" s="4"/>
      <c r="AH37" s="4"/>
      <c r="AI37" s="81"/>
      <c r="AJ37" s="81"/>
      <c r="AK37" s="81"/>
      <c r="AL37" s="81"/>
      <c r="AM37" s="81"/>
      <c r="AN37" s="81"/>
      <c r="AO37" s="8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5"/>
      <c r="BC37" s="85"/>
      <c r="BD37" s="6"/>
      <c r="BE37" s="7"/>
      <c r="BF37" s="8"/>
      <c r="BG37" s="9"/>
      <c r="BH37" s="10"/>
      <c r="BI37" s="11"/>
      <c r="BJ37" s="10"/>
      <c r="BK37" s="12"/>
      <c r="BL37" s="4"/>
      <c r="BM37" s="4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/>
      <c r="DA37" s="80"/>
      <c r="DB37" s="80"/>
      <c r="DC37" s="80"/>
      <c r="DD37" s="80"/>
      <c r="DE37" s="80"/>
      <c r="DF37" s="80"/>
      <c r="DG37" s="80"/>
      <c r="DH37" s="80"/>
    </row>
    <row r="38" spans="2:112" s="74" customFormat="1" ht="19.5" thickBot="1" x14ac:dyDescent="0.3">
      <c r="B38" s="176">
        <v>34</v>
      </c>
      <c r="C38" s="175"/>
      <c r="D38" s="178"/>
      <c r="E38" s="176">
        <v>84</v>
      </c>
      <c r="F38" s="175"/>
      <c r="G38" s="181"/>
      <c r="H38" s="182">
        <v>134</v>
      </c>
      <c r="I38" s="175"/>
      <c r="J38" s="181"/>
      <c r="K38" s="182">
        <v>184</v>
      </c>
      <c r="L38" s="175"/>
      <c r="M38" s="107"/>
      <c r="N38" s="139"/>
      <c r="O38" s="51" t="str">
        <f>IF(P30&lt;125,Berechnung!O29,Berechnung!N29)</f>
        <v>Cmk</v>
      </c>
      <c r="P38" s="162" t="e">
        <f>CPK</f>
        <v>#DIV/0!</v>
      </c>
      <c r="Q38" s="163" t="s">
        <v>94</v>
      </c>
      <c r="R38" s="122">
        <f>IF(P30&lt;125,IF(R34="ja / yes",2,1.67),IF(R34="ja / yes",1.67,1.33))</f>
        <v>1.67</v>
      </c>
      <c r="W38" s="75"/>
      <c r="X38" s="75"/>
      <c r="Y38" s="75"/>
      <c r="Z38" s="108"/>
      <c r="AA38" s="4"/>
      <c r="AB38" s="4"/>
      <c r="AC38" s="4"/>
      <c r="AD38" s="4"/>
      <c r="AE38" s="4"/>
      <c r="AF38" s="4"/>
      <c r="AG38" s="4"/>
      <c r="AH38" s="4"/>
      <c r="AI38" s="81"/>
      <c r="AJ38" s="81"/>
      <c r="AK38" s="81"/>
      <c r="AL38" s="81"/>
      <c r="AM38" s="81"/>
      <c r="AN38" s="81"/>
      <c r="AO38" s="81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5"/>
      <c r="BC38" s="85"/>
      <c r="BD38" s="6"/>
      <c r="BE38" s="7"/>
      <c r="BF38" s="8"/>
      <c r="BG38" s="9"/>
      <c r="BH38" s="10"/>
      <c r="BI38" s="11"/>
      <c r="BJ38" s="10"/>
      <c r="BK38" s="12"/>
      <c r="BL38" s="4"/>
      <c r="BM38" s="4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80"/>
      <c r="CF38" s="80"/>
      <c r="CG38" s="80"/>
      <c r="CH38" s="80"/>
      <c r="CI38" s="80"/>
      <c r="CJ38" s="80"/>
      <c r="CK38" s="80"/>
      <c r="CL38" s="80"/>
      <c r="CM38" s="80"/>
      <c r="CN38" s="80"/>
      <c r="CO38" s="80"/>
      <c r="CP38" s="80"/>
      <c r="CQ38" s="80"/>
      <c r="CR38" s="80"/>
      <c r="CS38" s="80"/>
      <c r="CT38" s="80"/>
      <c r="CU38" s="80"/>
      <c r="CV38" s="80"/>
      <c r="CW38" s="80"/>
      <c r="CX38" s="80"/>
      <c r="CY38" s="80"/>
      <c r="CZ38" s="80"/>
      <c r="DA38" s="80"/>
      <c r="DB38" s="80"/>
      <c r="DC38" s="80"/>
      <c r="DD38" s="80"/>
      <c r="DE38" s="80"/>
      <c r="DF38" s="80"/>
      <c r="DG38" s="80"/>
      <c r="DH38" s="80"/>
    </row>
    <row r="39" spans="2:112" s="74" customFormat="1" x14ac:dyDescent="0.25">
      <c r="B39" s="176">
        <v>35</v>
      </c>
      <c r="C39" s="175"/>
      <c r="D39" s="178"/>
      <c r="E39" s="176">
        <v>85</v>
      </c>
      <c r="F39" s="175"/>
      <c r="G39" s="181"/>
      <c r="H39" s="182">
        <v>135</v>
      </c>
      <c r="I39" s="175"/>
      <c r="J39" s="181"/>
      <c r="K39" s="182">
        <v>185</v>
      </c>
      <c r="L39" s="175"/>
      <c r="M39" s="107"/>
      <c r="N39" s="139"/>
      <c r="O39" s="109"/>
      <c r="P39" s="109"/>
      <c r="R39" s="138"/>
      <c r="W39" s="75"/>
      <c r="X39" s="75"/>
      <c r="Y39" s="75"/>
      <c r="Z39" s="108"/>
      <c r="AA39" s="4"/>
      <c r="AB39" s="4"/>
      <c r="AC39" s="4"/>
      <c r="AD39" s="4"/>
      <c r="AE39" s="4"/>
      <c r="AF39" s="4"/>
      <c r="AG39" s="4"/>
      <c r="AH39" s="4"/>
      <c r="AI39" s="81"/>
      <c r="AJ39" s="81"/>
      <c r="AK39" s="81"/>
      <c r="AL39" s="81"/>
      <c r="AM39" s="81"/>
      <c r="AN39" s="81"/>
      <c r="AO39" s="81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5"/>
      <c r="BC39" s="85"/>
      <c r="BD39" s="6"/>
      <c r="BE39" s="7"/>
      <c r="BF39" s="8"/>
      <c r="BG39" s="9"/>
      <c r="BH39" s="10"/>
      <c r="BI39" s="11"/>
      <c r="BJ39" s="10"/>
      <c r="BK39" s="12"/>
      <c r="BL39" s="4"/>
      <c r="BM39" s="4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80"/>
      <c r="CF39" s="80"/>
      <c r="CG39" s="80"/>
      <c r="CH39" s="80"/>
      <c r="CI39" s="80"/>
      <c r="CJ39" s="80"/>
      <c r="CK39" s="80"/>
      <c r="CL39" s="80"/>
      <c r="CM39" s="80"/>
      <c r="CN39" s="80"/>
      <c r="CO39" s="80"/>
      <c r="CP39" s="80"/>
      <c r="CQ39" s="80"/>
      <c r="CR39" s="80"/>
      <c r="CS39" s="80"/>
      <c r="CT39" s="80"/>
      <c r="CU39" s="80"/>
      <c r="CV39" s="80"/>
      <c r="CW39" s="80"/>
      <c r="CX39" s="80"/>
      <c r="CY39" s="80"/>
      <c r="CZ39" s="80"/>
      <c r="DA39" s="80"/>
      <c r="DB39" s="80"/>
      <c r="DC39" s="80"/>
      <c r="DD39" s="80"/>
      <c r="DE39" s="80"/>
      <c r="DF39" s="80"/>
      <c r="DG39" s="80"/>
      <c r="DH39" s="80"/>
    </row>
    <row r="40" spans="2:112" s="74" customFormat="1" x14ac:dyDescent="0.25">
      <c r="B40" s="176">
        <v>36</v>
      </c>
      <c r="C40" s="175"/>
      <c r="D40" s="178"/>
      <c r="E40" s="176">
        <v>86</v>
      </c>
      <c r="F40" s="175"/>
      <c r="G40" s="181"/>
      <c r="H40" s="182">
        <v>136</v>
      </c>
      <c r="I40" s="175"/>
      <c r="J40" s="181"/>
      <c r="K40" s="182">
        <v>186</v>
      </c>
      <c r="L40" s="175"/>
      <c r="M40" s="107"/>
      <c r="N40" s="139"/>
      <c r="O40" s="115" t="s">
        <v>65</v>
      </c>
      <c r="P40" s="123" t="e">
        <f>Median</f>
        <v>#NUM!</v>
      </c>
      <c r="R40" s="138"/>
      <c r="W40" s="75"/>
      <c r="X40" s="75"/>
      <c r="Y40" s="75"/>
      <c r="Z40" s="108"/>
      <c r="AA40" s="4"/>
      <c r="AB40" s="4"/>
      <c r="AC40" s="4"/>
      <c r="AD40" s="4"/>
      <c r="AE40" s="4"/>
      <c r="AF40" s="4"/>
      <c r="AG40" s="4"/>
      <c r="AH40" s="4"/>
      <c r="AI40" s="81"/>
      <c r="AJ40" s="81"/>
      <c r="AK40" s="81"/>
      <c r="AL40" s="81"/>
      <c r="AM40" s="81"/>
      <c r="AN40" s="81"/>
      <c r="AO40" s="81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5"/>
      <c r="BC40" s="85"/>
      <c r="BD40" s="6"/>
      <c r="BE40" s="7"/>
      <c r="BF40" s="8"/>
      <c r="BG40" s="9"/>
      <c r="BH40" s="10"/>
      <c r="BI40" s="11"/>
      <c r="BJ40" s="10"/>
      <c r="BK40" s="12"/>
      <c r="BL40" s="4"/>
      <c r="BM40" s="4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80"/>
      <c r="CF40" s="80"/>
      <c r="CG40" s="80"/>
      <c r="CH40" s="80"/>
      <c r="CI40" s="80"/>
      <c r="CJ40" s="80"/>
      <c r="CK40" s="80"/>
      <c r="CL40" s="80"/>
      <c r="CM40" s="80"/>
      <c r="CN40" s="80"/>
      <c r="CO40" s="80"/>
      <c r="CP40" s="80"/>
      <c r="CQ40" s="80"/>
      <c r="CR40" s="80"/>
      <c r="CS40" s="80"/>
      <c r="CT40" s="80"/>
      <c r="CU40" s="80"/>
      <c r="CV40" s="80"/>
      <c r="CW40" s="80"/>
      <c r="CX40" s="80"/>
      <c r="CY40" s="80"/>
      <c r="CZ40" s="80"/>
      <c r="DA40" s="80"/>
      <c r="DB40" s="80"/>
      <c r="DC40" s="80"/>
      <c r="DD40" s="80"/>
      <c r="DE40" s="80"/>
      <c r="DF40" s="80"/>
      <c r="DG40" s="80"/>
      <c r="DH40" s="80"/>
    </row>
    <row r="41" spans="2:112" s="74" customFormat="1" x14ac:dyDescent="0.25">
      <c r="B41" s="176">
        <v>37</v>
      </c>
      <c r="C41" s="175"/>
      <c r="D41" s="178"/>
      <c r="E41" s="176">
        <v>87</v>
      </c>
      <c r="F41" s="175"/>
      <c r="G41" s="181"/>
      <c r="H41" s="182">
        <v>137</v>
      </c>
      <c r="I41" s="175"/>
      <c r="J41" s="181"/>
      <c r="K41" s="182">
        <v>187</v>
      </c>
      <c r="L41" s="175"/>
      <c r="M41" s="107"/>
      <c r="N41" s="139"/>
      <c r="O41" s="115" t="s">
        <v>156</v>
      </c>
      <c r="P41" s="123">
        <f>Spannweite</f>
        <v>0</v>
      </c>
      <c r="R41" s="140"/>
      <c r="W41" s="75"/>
      <c r="X41" s="75"/>
      <c r="Y41" s="75"/>
      <c r="Z41" s="108"/>
      <c r="AA41" s="4"/>
      <c r="AB41" s="4"/>
      <c r="AC41" s="4"/>
      <c r="AD41" s="4"/>
      <c r="AE41" s="4"/>
      <c r="AF41" s="4"/>
      <c r="AG41" s="4"/>
      <c r="AH41" s="4"/>
      <c r="AI41" s="81"/>
      <c r="AJ41" s="81"/>
      <c r="AK41" s="81"/>
      <c r="AL41" s="81"/>
      <c r="AM41" s="81"/>
      <c r="AN41" s="81"/>
      <c r="AO41" s="81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5"/>
      <c r="BC41" s="85"/>
      <c r="BD41" s="6"/>
      <c r="BE41" s="7"/>
      <c r="BF41" s="8"/>
      <c r="BG41" s="9"/>
      <c r="BH41" s="10"/>
      <c r="BI41" s="11"/>
      <c r="BJ41" s="10"/>
      <c r="BK41" s="12"/>
      <c r="BL41" s="4"/>
      <c r="BM41" s="4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80"/>
      <c r="CF41" s="80"/>
      <c r="CG41" s="80"/>
      <c r="CH41" s="80"/>
      <c r="CI41" s="80"/>
      <c r="CJ41" s="80"/>
      <c r="CK41" s="80"/>
      <c r="CL41" s="80"/>
      <c r="CM41" s="80"/>
      <c r="CN41" s="80"/>
      <c r="CO41" s="80"/>
      <c r="CP41" s="80"/>
      <c r="CQ41" s="80"/>
      <c r="CR41" s="80"/>
      <c r="CS41" s="80"/>
      <c r="CT41" s="80"/>
      <c r="CU41" s="80"/>
      <c r="CV41" s="80"/>
      <c r="CW41" s="80"/>
      <c r="CX41" s="80"/>
      <c r="CY41" s="80"/>
      <c r="CZ41" s="80"/>
      <c r="DA41" s="80"/>
      <c r="DB41" s="80"/>
      <c r="DC41" s="80"/>
      <c r="DD41" s="80"/>
      <c r="DE41" s="80"/>
      <c r="DF41" s="80"/>
      <c r="DG41" s="80"/>
      <c r="DH41" s="80"/>
    </row>
    <row r="42" spans="2:112" s="74" customFormat="1" x14ac:dyDescent="0.25">
      <c r="B42" s="176">
        <v>38</v>
      </c>
      <c r="C42" s="175"/>
      <c r="D42" s="178"/>
      <c r="E42" s="176">
        <v>88</v>
      </c>
      <c r="F42" s="175"/>
      <c r="G42" s="181"/>
      <c r="H42" s="182">
        <v>138</v>
      </c>
      <c r="I42" s="175"/>
      <c r="J42" s="181"/>
      <c r="K42" s="182">
        <v>188</v>
      </c>
      <c r="L42" s="175"/>
      <c r="M42" s="107"/>
      <c r="N42" s="139"/>
      <c r="O42" s="115" t="s">
        <v>127</v>
      </c>
      <c r="P42" s="123">
        <f>Minimum</f>
        <v>0</v>
      </c>
      <c r="R42" s="140"/>
      <c r="W42" s="75"/>
      <c r="X42" s="75"/>
      <c r="Y42" s="75"/>
      <c r="Z42" s="108"/>
      <c r="AA42" s="4"/>
      <c r="AB42" s="4"/>
      <c r="AC42" s="4"/>
      <c r="AD42" s="4"/>
      <c r="AE42" s="4"/>
      <c r="AF42" s="4"/>
      <c r="AG42" s="4"/>
      <c r="AH42" s="4"/>
      <c r="AI42" s="81"/>
      <c r="AJ42" s="81"/>
      <c r="AK42" s="81"/>
      <c r="AL42" s="81"/>
      <c r="AM42" s="81"/>
      <c r="AN42" s="81"/>
      <c r="AO42" s="81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5"/>
      <c r="BC42" s="85"/>
      <c r="BD42" s="6"/>
      <c r="BE42" s="7"/>
      <c r="BF42" s="8"/>
      <c r="BG42" s="9"/>
      <c r="BH42" s="10"/>
      <c r="BI42" s="11"/>
      <c r="BJ42" s="10"/>
      <c r="BK42" s="12"/>
      <c r="BL42" s="4"/>
      <c r="BM42" s="4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80"/>
      <c r="CF42" s="80"/>
      <c r="CG42" s="80"/>
      <c r="CH42" s="80"/>
      <c r="CI42" s="80"/>
      <c r="CJ42" s="80"/>
      <c r="CK42" s="80"/>
      <c r="CL42" s="80"/>
      <c r="CM42" s="80"/>
      <c r="CN42" s="80"/>
      <c r="CO42" s="80"/>
      <c r="CP42" s="80"/>
      <c r="CQ42" s="80"/>
      <c r="CR42" s="80"/>
      <c r="CS42" s="80"/>
      <c r="CT42" s="80"/>
      <c r="CU42" s="80"/>
      <c r="CV42" s="80"/>
      <c r="CW42" s="80"/>
      <c r="CX42" s="80"/>
      <c r="CY42" s="80"/>
      <c r="CZ42" s="80"/>
      <c r="DA42" s="80"/>
      <c r="DB42" s="80"/>
      <c r="DC42" s="80"/>
      <c r="DD42" s="80"/>
      <c r="DE42" s="80"/>
      <c r="DF42" s="80"/>
      <c r="DG42" s="80"/>
      <c r="DH42" s="80"/>
    </row>
    <row r="43" spans="2:112" s="74" customFormat="1" ht="19.5" thickBot="1" x14ac:dyDescent="0.3">
      <c r="B43" s="176">
        <v>39</v>
      </c>
      <c r="C43" s="175"/>
      <c r="D43" s="178"/>
      <c r="E43" s="176">
        <v>89</v>
      </c>
      <c r="F43" s="175"/>
      <c r="G43" s="181"/>
      <c r="H43" s="182">
        <v>139</v>
      </c>
      <c r="I43" s="175"/>
      <c r="J43" s="181"/>
      <c r="K43" s="182">
        <v>189</v>
      </c>
      <c r="L43" s="175"/>
      <c r="M43" s="107"/>
      <c r="N43" s="141"/>
      <c r="O43" s="142" t="s">
        <v>128</v>
      </c>
      <c r="P43" s="143">
        <f>Maximum</f>
        <v>0</v>
      </c>
      <c r="Q43" s="144"/>
      <c r="R43" s="145"/>
      <c r="W43" s="75"/>
      <c r="X43" s="75"/>
      <c r="Y43" s="75"/>
      <c r="Z43" s="108"/>
      <c r="AA43" s="4"/>
      <c r="AB43" s="4"/>
      <c r="AC43" s="4"/>
      <c r="AD43" s="4"/>
      <c r="AE43" s="4"/>
      <c r="AF43" s="4"/>
      <c r="AG43" s="4"/>
      <c r="AH43" s="4"/>
      <c r="AI43" s="81"/>
      <c r="AJ43" s="81"/>
      <c r="AK43" s="81"/>
      <c r="AL43" s="81"/>
      <c r="AM43" s="81"/>
      <c r="AN43" s="81"/>
      <c r="AO43" s="81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5"/>
      <c r="BC43" s="85"/>
      <c r="BD43" s="6"/>
      <c r="BE43" s="7"/>
      <c r="BF43" s="8"/>
      <c r="BG43" s="9"/>
      <c r="BH43" s="10"/>
      <c r="BI43" s="11"/>
      <c r="BJ43" s="10"/>
      <c r="BK43" s="12"/>
      <c r="BL43" s="4"/>
      <c r="BM43" s="4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80"/>
      <c r="CF43" s="80"/>
      <c r="CG43" s="80"/>
      <c r="CH43" s="80"/>
      <c r="CI43" s="80"/>
      <c r="CJ43" s="80"/>
      <c r="CK43" s="80"/>
      <c r="CL43" s="80"/>
      <c r="CM43" s="80"/>
      <c r="CN43" s="80"/>
      <c r="CO43" s="80"/>
      <c r="CP43" s="80"/>
      <c r="CQ43" s="80"/>
      <c r="CR43" s="80"/>
      <c r="CS43" s="80"/>
      <c r="CT43" s="80"/>
      <c r="CU43" s="80"/>
      <c r="CV43" s="80"/>
      <c r="CW43" s="80"/>
      <c r="CX43" s="80"/>
      <c r="CY43" s="80"/>
      <c r="CZ43" s="80"/>
      <c r="DA43" s="80"/>
      <c r="DB43" s="80"/>
      <c r="DC43" s="80"/>
      <c r="DD43" s="80"/>
      <c r="DE43" s="80"/>
      <c r="DF43" s="80"/>
      <c r="DG43" s="80"/>
      <c r="DH43" s="80"/>
    </row>
    <row r="44" spans="2:112" s="74" customFormat="1" x14ac:dyDescent="0.25">
      <c r="B44" s="176">
        <v>40</v>
      </c>
      <c r="C44" s="175"/>
      <c r="D44" s="178"/>
      <c r="E44" s="176">
        <v>90</v>
      </c>
      <c r="F44" s="175"/>
      <c r="G44" s="181"/>
      <c r="H44" s="182">
        <v>140</v>
      </c>
      <c r="I44" s="175"/>
      <c r="J44" s="181"/>
      <c r="K44" s="182">
        <v>190</v>
      </c>
      <c r="L44" s="175"/>
      <c r="M44" s="107"/>
      <c r="N44" s="56"/>
      <c r="O44" s="109"/>
      <c r="P44" s="109"/>
      <c r="R44" s="73"/>
      <c r="W44" s="75"/>
      <c r="X44" s="75"/>
      <c r="Y44" s="75"/>
      <c r="Z44" s="108"/>
      <c r="AA44" s="4"/>
      <c r="AB44" s="4"/>
      <c r="AC44" s="4"/>
      <c r="AD44" s="4"/>
      <c r="AE44" s="4"/>
      <c r="AF44" s="4"/>
      <c r="AG44" s="4"/>
      <c r="AH44" s="4"/>
      <c r="AI44" s="81"/>
      <c r="AJ44" s="81"/>
      <c r="AK44" s="81"/>
      <c r="AL44" s="81"/>
      <c r="AM44" s="81"/>
      <c r="AN44" s="81"/>
      <c r="AO44" s="81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5"/>
      <c r="BC44" s="85"/>
      <c r="BD44" s="6"/>
      <c r="BE44" s="7"/>
      <c r="BF44" s="8"/>
      <c r="BG44" s="9"/>
      <c r="BH44" s="10"/>
      <c r="BI44" s="11"/>
      <c r="BJ44" s="10"/>
      <c r="BK44" s="12"/>
      <c r="BL44" s="4"/>
      <c r="BM44" s="4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80"/>
      <c r="CF44" s="80"/>
      <c r="CG44" s="80"/>
      <c r="CH44" s="80"/>
      <c r="CI44" s="80"/>
      <c r="CJ44" s="80"/>
      <c r="CK44" s="80"/>
      <c r="CL44" s="80"/>
      <c r="CM44" s="80"/>
      <c r="CN44" s="80"/>
      <c r="CO44" s="80"/>
      <c r="CP44" s="80"/>
      <c r="CQ44" s="80"/>
      <c r="CR44" s="80"/>
      <c r="CS44" s="80"/>
      <c r="CT44" s="80"/>
      <c r="CU44" s="80"/>
      <c r="CV44" s="80"/>
      <c r="CW44" s="80"/>
      <c r="CX44" s="80"/>
      <c r="CY44" s="80"/>
      <c r="CZ44" s="80"/>
      <c r="DA44" s="80"/>
      <c r="DB44" s="80"/>
      <c r="DC44" s="80"/>
      <c r="DD44" s="80"/>
      <c r="DE44" s="80"/>
      <c r="DF44" s="80"/>
      <c r="DG44" s="80"/>
      <c r="DH44" s="80"/>
    </row>
    <row r="45" spans="2:112" s="74" customFormat="1" ht="18" x14ac:dyDescent="0.25">
      <c r="B45" s="176">
        <v>41</v>
      </c>
      <c r="C45" s="175"/>
      <c r="D45" s="178"/>
      <c r="E45" s="176">
        <v>91</v>
      </c>
      <c r="F45" s="175"/>
      <c r="G45" s="181"/>
      <c r="H45" s="182">
        <v>141</v>
      </c>
      <c r="I45" s="175"/>
      <c r="J45" s="181"/>
      <c r="K45" s="182">
        <v>191</v>
      </c>
      <c r="L45" s="175"/>
      <c r="M45" s="110"/>
      <c r="N45" s="118" t="s">
        <v>130</v>
      </c>
      <c r="O45" s="120" t="s">
        <v>186</v>
      </c>
      <c r="P45" s="111"/>
      <c r="Q45" s="111"/>
      <c r="R45" s="111"/>
      <c r="S45" s="111"/>
      <c r="T45" s="111"/>
      <c r="U45" s="111"/>
      <c r="V45" s="111"/>
      <c r="W45" s="111"/>
      <c r="X45" s="111"/>
      <c r="Y45" s="121" t="s">
        <v>169</v>
      </c>
      <c r="Z45" s="112"/>
      <c r="AA45" s="4"/>
      <c r="AB45" s="4"/>
      <c r="AC45" s="4"/>
      <c r="AD45" s="4"/>
      <c r="AE45" s="4"/>
      <c r="AF45" s="4"/>
      <c r="AG45" s="4"/>
      <c r="AH45" s="4"/>
      <c r="AI45" s="81"/>
      <c r="AJ45" s="81"/>
      <c r="AK45" s="81"/>
      <c r="AL45" s="81"/>
      <c r="AM45" s="81"/>
      <c r="AN45" s="81"/>
      <c r="AO45" s="81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5"/>
      <c r="BC45" s="85"/>
      <c r="BD45" s="6"/>
      <c r="BE45" s="7"/>
      <c r="BF45" s="8"/>
      <c r="BG45" s="9"/>
      <c r="BH45" s="10"/>
      <c r="BI45" s="11"/>
      <c r="BJ45" s="10"/>
      <c r="BK45" s="12"/>
      <c r="BL45" s="4"/>
      <c r="BM45" s="4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80"/>
      <c r="CF45" s="80"/>
      <c r="CG45" s="80"/>
      <c r="CH45" s="80"/>
      <c r="CI45" s="80"/>
      <c r="CJ45" s="80"/>
      <c r="CK45" s="80"/>
      <c r="CL45" s="80"/>
      <c r="CM45" s="80"/>
      <c r="CN45" s="80"/>
      <c r="CO45" s="80"/>
      <c r="CP45" s="80"/>
      <c r="CQ45" s="80"/>
      <c r="CR45" s="80"/>
      <c r="CS45" s="80"/>
      <c r="CT45" s="80"/>
      <c r="CU45" s="80"/>
      <c r="CV45" s="80"/>
      <c r="CW45" s="80"/>
      <c r="CX45" s="80"/>
      <c r="CY45" s="80"/>
      <c r="CZ45" s="80"/>
      <c r="DA45" s="80"/>
      <c r="DB45" s="80"/>
      <c r="DC45" s="80"/>
      <c r="DD45" s="80"/>
      <c r="DE45" s="80"/>
      <c r="DF45" s="80"/>
      <c r="DG45" s="80"/>
      <c r="DH45" s="80"/>
    </row>
    <row r="46" spans="2:112" s="74" customFormat="1" ht="18" x14ac:dyDescent="0.25">
      <c r="B46" s="176">
        <v>42</v>
      </c>
      <c r="C46" s="175"/>
      <c r="D46" s="178"/>
      <c r="E46" s="176">
        <v>92</v>
      </c>
      <c r="F46" s="175"/>
      <c r="G46" s="181"/>
      <c r="H46" s="182">
        <v>142</v>
      </c>
      <c r="I46" s="175"/>
      <c r="J46" s="181"/>
      <c r="K46" s="182">
        <v>192</v>
      </c>
      <c r="L46" s="175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4"/>
      <c r="AD46" s="4"/>
      <c r="AE46" s="4"/>
      <c r="AF46" s="4"/>
      <c r="AG46" s="4"/>
      <c r="AH46" s="4"/>
      <c r="AI46" s="81"/>
      <c r="AJ46" s="81"/>
      <c r="AK46" s="81"/>
      <c r="AL46" s="81"/>
      <c r="AM46" s="81"/>
      <c r="AN46" s="81"/>
      <c r="AO46" s="81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5"/>
      <c r="BC46" s="85"/>
      <c r="BD46" s="6"/>
      <c r="BE46" s="7"/>
      <c r="BF46" s="8"/>
      <c r="BG46" s="9"/>
      <c r="BH46" s="10"/>
      <c r="BI46" s="11"/>
      <c r="BJ46" s="10"/>
      <c r="BK46" s="12"/>
      <c r="BL46" s="4"/>
      <c r="BM46" s="4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80"/>
      <c r="CF46" s="80"/>
      <c r="CG46" s="80"/>
      <c r="CH46" s="80"/>
      <c r="CI46" s="80"/>
      <c r="CJ46" s="80"/>
      <c r="CK46" s="80"/>
      <c r="CL46" s="80"/>
      <c r="CM46" s="80"/>
      <c r="CN46" s="80"/>
      <c r="CO46" s="80"/>
      <c r="CP46" s="80"/>
      <c r="CQ46" s="80"/>
      <c r="CR46" s="80"/>
      <c r="CS46" s="80"/>
      <c r="CT46" s="80"/>
      <c r="CU46" s="80"/>
      <c r="CV46" s="80"/>
      <c r="CW46" s="80"/>
      <c r="CX46" s="80"/>
      <c r="CY46" s="80"/>
      <c r="CZ46" s="80"/>
      <c r="DA46" s="80"/>
      <c r="DB46" s="80"/>
      <c r="DC46" s="80"/>
      <c r="DD46" s="80"/>
      <c r="DE46" s="80"/>
      <c r="DF46" s="80"/>
      <c r="DG46" s="80"/>
      <c r="DH46" s="80"/>
    </row>
    <row r="47" spans="2:112" s="74" customFormat="1" ht="21" x14ac:dyDescent="0.25">
      <c r="B47" s="176">
        <v>43</v>
      </c>
      <c r="C47" s="175"/>
      <c r="D47" s="178"/>
      <c r="E47" s="176">
        <v>93</v>
      </c>
      <c r="F47" s="175"/>
      <c r="G47" s="181"/>
      <c r="H47" s="182">
        <v>143</v>
      </c>
      <c r="I47" s="175"/>
      <c r="J47" s="181"/>
      <c r="K47" s="182">
        <v>193</v>
      </c>
      <c r="L47" s="175"/>
      <c r="M47" s="2"/>
      <c r="N47" s="99"/>
      <c r="O47" s="99"/>
      <c r="P47" s="99"/>
      <c r="Q47" s="87"/>
      <c r="R47" s="2"/>
      <c r="S47" s="73"/>
      <c r="T47" s="73"/>
      <c r="U47" s="73"/>
      <c r="V47" s="73"/>
      <c r="W47" s="88"/>
      <c r="X47" s="88"/>
      <c r="Y47" s="88"/>
      <c r="Z47" s="88"/>
      <c r="AA47" s="88"/>
      <c r="AB47" s="88"/>
      <c r="AC47" s="4"/>
      <c r="AD47" s="4"/>
      <c r="AE47" s="4"/>
      <c r="AF47" s="4"/>
      <c r="AG47" s="4"/>
      <c r="AH47" s="4"/>
      <c r="AI47" s="81"/>
      <c r="AJ47" s="81"/>
      <c r="AK47" s="81"/>
      <c r="AL47" s="81"/>
      <c r="AM47" s="81"/>
      <c r="AN47" s="81"/>
      <c r="AO47" s="81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5"/>
      <c r="BC47" s="85"/>
      <c r="BD47" s="6"/>
      <c r="BE47" s="7"/>
      <c r="BF47" s="8"/>
      <c r="BG47" s="9"/>
      <c r="BH47" s="10"/>
      <c r="BI47" s="11"/>
      <c r="BJ47" s="10"/>
      <c r="BK47" s="12"/>
      <c r="BL47" s="4"/>
      <c r="BM47" s="4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80"/>
      <c r="CF47" s="80"/>
      <c r="CG47" s="80"/>
      <c r="CH47" s="80"/>
      <c r="CI47" s="80"/>
      <c r="CJ47" s="80"/>
      <c r="CK47" s="80"/>
      <c r="CL47" s="80"/>
      <c r="CM47" s="80"/>
      <c r="CN47" s="80"/>
      <c r="CO47" s="80"/>
      <c r="CP47" s="80"/>
      <c r="CQ47" s="80"/>
      <c r="CR47" s="80"/>
      <c r="CS47" s="80"/>
      <c r="CT47" s="80"/>
      <c r="CU47" s="80"/>
      <c r="CV47" s="80"/>
      <c r="CW47" s="80"/>
      <c r="CX47" s="80"/>
      <c r="CY47" s="80"/>
      <c r="CZ47" s="80"/>
      <c r="DA47" s="80"/>
      <c r="DB47" s="80"/>
      <c r="DC47" s="80"/>
      <c r="DD47" s="80"/>
      <c r="DE47" s="80"/>
      <c r="DF47" s="80"/>
      <c r="DG47" s="80"/>
      <c r="DH47" s="80"/>
    </row>
    <row r="48" spans="2:112" s="74" customFormat="1" ht="21" x14ac:dyDescent="0.35">
      <c r="B48" s="176">
        <v>44</v>
      </c>
      <c r="C48" s="175"/>
      <c r="D48" s="178"/>
      <c r="E48" s="176">
        <v>94</v>
      </c>
      <c r="F48" s="175"/>
      <c r="G48" s="181"/>
      <c r="H48" s="182">
        <v>144</v>
      </c>
      <c r="I48" s="175"/>
      <c r="J48" s="181"/>
      <c r="K48" s="182">
        <v>194</v>
      </c>
      <c r="L48" s="175"/>
      <c r="M48" s="2"/>
      <c r="N48" s="99"/>
      <c r="O48" s="99"/>
      <c r="P48" s="99"/>
      <c r="Q48" s="87"/>
      <c r="R48" s="95"/>
      <c r="S48" s="73"/>
      <c r="T48" s="73"/>
      <c r="U48" s="73"/>
      <c r="V48" s="73"/>
      <c r="W48" s="88"/>
      <c r="X48" s="88"/>
      <c r="Y48" s="88"/>
      <c r="Z48" s="88"/>
      <c r="AA48" s="88"/>
      <c r="AB48" s="88"/>
      <c r="AC48" s="4"/>
      <c r="AD48" s="4"/>
      <c r="AE48" s="4"/>
      <c r="AF48" s="4"/>
      <c r="AG48" s="4"/>
      <c r="AH48" s="4"/>
      <c r="AI48" s="81"/>
      <c r="AJ48" s="81"/>
      <c r="AK48" s="81"/>
      <c r="AL48" s="81"/>
      <c r="AM48" s="81"/>
      <c r="AN48" s="81"/>
      <c r="AO48" s="81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5"/>
      <c r="BC48" s="85"/>
      <c r="BD48" s="6"/>
      <c r="BE48" s="7"/>
      <c r="BF48" s="8"/>
      <c r="BG48" s="9"/>
      <c r="BH48" s="10"/>
      <c r="BI48" s="11"/>
      <c r="BJ48" s="10"/>
      <c r="BK48" s="12"/>
      <c r="BL48" s="4"/>
      <c r="BM48" s="4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80"/>
      <c r="CF48" s="80"/>
      <c r="CG48" s="80"/>
      <c r="CH48" s="80"/>
      <c r="CI48" s="80"/>
      <c r="CJ48" s="80"/>
      <c r="CK48" s="80"/>
      <c r="CL48" s="80"/>
      <c r="CM48" s="80"/>
      <c r="CN48" s="80"/>
      <c r="CO48" s="80"/>
      <c r="CP48" s="80"/>
      <c r="CQ48" s="80"/>
      <c r="CR48" s="80"/>
      <c r="CS48" s="80"/>
      <c r="CT48" s="80"/>
      <c r="CU48" s="80"/>
      <c r="CV48" s="80"/>
      <c r="CW48" s="80"/>
      <c r="CX48" s="80"/>
      <c r="CY48" s="80"/>
      <c r="CZ48" s="80"/>
      <c r="DA48" s="80"/>
      <c r="DB48" s="80"/>
      <c r="DC48" s="80"/>
      <c r="DD48" s="80"/>
      <c r="DE48" s="80"/>
      <c r="DF48" s="80"/>
      <c r="DG48" s="80"/>
      <c r="DH48" s="80"/>
    </row>
    <row r="49" spans="1:112" s="74" customFormat="1" ht="21" x14ac:dyDescent="0.25">
      <c r="B49" s="176">
        <v>45</v>
      </c>
      <c r="C49" s="175"/>
      <c r="D49" s="178"/>
      <c r="E49" s="176">
        <v>95</v>
      </c>
      <c r="F49" s="175"/>
      <c r="G49" s="181"/>
      <c r="H49" s="182">
        <v>145</v>
      </c>
      <c r="I49" s="175"/>
      <c r="J49" s="181"/>
      <c r="K49" s="182">
        <v>195</v>
      </c>
      <c r="L49" s="175"/>
      <c r="M49" s="2"/>
      <c r="N49" s="96"/>
      <c r="O49" s="96"/>
      <c r="P49" s="96"/>
      <c r="Q49" s="87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4"/>
      <c r="AE49" s="4"/>
      <c r="AF49" s="4"/>
      <c r="AG49" s="4"/>
      <c r="AH49" s="4"/>
      <c r="AI49" s="81"/>
      <c r="AJ49" s="81"/>
      <c r="AK49" s="81"/>
      <c r="AL49" s="81"/>
      <c r="AM49" s="81"/>
      <c r="AN49" s="81"/>
      <c r="AO49" s="81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5"/>
      <c r="BC49" s="85"/>
      <c r="BD49" s="6"/>
      <c r="BE49" s="7"/>
      <c r="BF49" s="8"/>
      <c r="BG49" s="9"/>
      <c r="BH49" s="10"/>
      <c r="BI49" s="11"/>
      <c r="BJ49" s="10"/>
      <c r="BK49" s="12"/>
      <c r="BL49" s="4"/>
      <c r="BM49" s="4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80"/>
      <c r="CF49" s="80"/>
      <c r="CG49" s="80"/>
      <c r="CH49" s="80"/>
      <c r="CI49" s="80"/>
      <c r="CJ49" s="80"/>
      <c r="CK49" s="80"/>
      <c r="CL49" s="80"/>
      <c r="CM49" s="80"/>
      <c r="CN49" s="80"/>
      <c r="CO49" s="80"/>
      <c r="CP49" s="80"/>
      <c r="CQ49" s="80"/>
      <c r="CR49" s="80"/>
      <c r="CS49" s="80"/>
      <c r="CT49" s="80"/>
      <c r="CU49" s="80"/>
      <c r="CV49" s="80"/>
      <c r="CW49" s="80"/>
      <c r="CX49" s="80"/>
      <c r="CY49" s="80"/>
      <c r="CZ49" s="80"/>
      <c r="DA49" s="80"/>
      <c r="DB49" s="80"/>
      <c r="DC49" s="80"/>
      <c r="DD49" s="80"/>
      <c r="DE49" s="80"/>
      <c r="DF49" s="80"/>
      <c r="DG49" s="80"/>
      <c r="DH49" s="80"/>
    </row>
    <row r="50" spans="1:112" s="74" customFormat="1" x14ac:dyDescent="0.25">
      <c r="B50" s="176">
        <v>46</v>
      </c>
      <c r="C50" s="175"/>
      <c r="D50" s="178"/>
      <c r="E50" s="176">
        <v>96</v>
      </c>
      <c r="F50" s="175"/>
      <c r="G50" s="181"/>
      <c r="H50" s="182">
        <v>146</v>
      </c>
      <c r="I50" s="175"/>
      <c r="J50" s="181"/>
      <c r="K50" s="182">
        <v>196</v>
      </c>
      <c r="L50" s="175"/>
      <c r="M50" s="2"/>
      <c r="N50" s="68"/>
      <c r="O50" s="68"/>
      <c r="P50" s="68"/>
      <c r="Q50" s="87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4"/>
      <c r="AE50" s="4"/>
      <c r="AF50" s="4"/>
      <c r="AG50" s="4"/>
      <c r="AH50" s="4"/>
      <c r="AI50" s="81"/>
      <c r="AJ50" s="81"/>
      <c r="AK50" s="81"/>
      <c r="AL50" s="81"/>
      <c r="AM50" s="81"/>
      <c r="AN50" s="81"/>
      <c r="AO50" s="81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5"/>
      <c r="BC50" s="85"/>
      <c r="BD50" s="6"/>
      <c r="BE50" s="7"/>
      <c r="BF50" s="8"/>
      <c r="BG50" s="9"/>
      <c r="BH50" s="10"/>
      <c r="BI50" s="11"/>
      <c r="BJ50" s="10"/>
      <c r="BK50" s="12"/>
      <c r="BL50" s="4"/>
      <c r="BM50" s="4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80"/>
      <c r="CF50" s="80"/>
      <c r="CG50" s="80"/>
      <c r="CH50" s="80"/>
      <c r="CI50" s="80"/>
      <c r="CJ50" s="80"/>
      <c r="CK50" s="80"/>
      <c r="CL50" s="80"/>
      <c r="CM50" s="80"/>
      <c r="CN50" s="80"/>
      <c r="CO50" s="80"/>
      <c r="CP50" s="80"/>
      <c r="CQ50" s="80"/>
      <c r="CR50" s="80"/>
      <c r="CS50" s="80"/>
      <c r="CT50" s="80"/>
      <c r="CU50" s="80"/>
      <c r="CV50" s="80"/>
      <c r="CW50" s="80"/>
      <c r="CX50" s="80"/>
      <c r="CY50" s="80"/>
      <c r="CZ50" s="80"/>
      <c r="DA50" s="80"/>
      <c r="DB50" s="80"/>
      <c r="DC50" s="80"/>
      <c r="DD50" s="80"/>
      <c r="DE50" s="80"/>
      <c r="DF50" s="80"/>
      <c r="DG50" s="80"/>
      <c r="DH50" s="80"/>
    </row>
    <row r="51" spans="1:112" s="74" customFormat="1" x14ac:dyDescent="0.25">
      <c r="B51" s="176">
        <v>47</v>
      </c>
      <c r="C51" s="175"/>
      <c r="D51" s="178"/>
      <c r="E51" s="176">
        <v>97</v>
      </c>
      <c r="F51" s="175"/>
      <c r="G51" s="181"/>
      <c r="H51" s="182">
        <v>147</v>
      </c>
      <c r="I51" s="175"/>
      <c r="J51" s="181"/>
      <c r="K51" s="182">
        <v>197</v>
      </c>
      <c r="L51" s="175"/>
      <c r="M51" s="2"/>
      <c r="N51" s="2"/>
      <c r="O51" s="2"/>
      <c r="P51" s="2"/>
      <c r="Q51" s="87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4"/>
      <c r="AE51" s="4"/>
      <c r="AF51" s="4"/>
      <c r="AG51" s="4"/>
      <c r="AH51" s="4"/>
      <c r="AI51" s="81"/>
      <c r="AJ51" s="81"/>
      <c r="AK51" s="81"/>
      <c r="AL51" s="81"/>
      <c r="AM51" s="81"/>
      <c r="AN51" s="81"/>
      <c r="AO51" s="81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5"/>
      <c r="BC51" s="85"/>
      <c r="BD51" s="6"/>
      <c r="BE51" s="7"/>
      <c r="BF51" s="8"/>
      <c r="BG51" s="9"/>
      <c r="BH51" s="10"/>
      <c r="BI51" s="11"/>
      <c r="BJ51" s="10"/>
      <c r="BK51" s="12"/>
      <c r="BL51" s="4"/>
      <c r="BM51" s="4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80"/>
      <c r="CF51" s="80"/>
      <c r="CG51" s="80"/>
      <c r="CH51" s="80"/>
      <c r="CI51" s="80"/>
      <c r="CJ51" s="80"/>
      <c r="CK51" s="80"/>
      <c r="CL51" s="80"/>
      <c r="CM51" s="80"/>
      <c r="CN51" s="80"/>
      <c r="CO51" s="80"/>
      <c r="CP51" s="80"/>
      <c r="CQ51" s="80"/>
      <c r="CR51" s="80"/>
      <c r="CS51" s="80"/>
      <c r="CT51" s="80"/>
      <c r="CU51" s="80"/>
      <c r="CV51" s="80"/>
      <c r="CW51" s="80"/>
      <c r="CX51" s="80"/>
      <c r="CY51" s="80"/>
      <c r="CZ51" s="80"/>
      <c r="DA51" s="80"/>
      <c r="DB51" s="80"/>
      <c r="DC51" s="80"/>
      <c r="DD51" s="80"/>
      <c r="DE51" s="80"/>
      <c r="DF51" s="80"/>
      <c r="DG51" s="80"/>
      <c r="DH51" s="80"/>
    </row>
    <row r="52" spans="1:112" s="74" customFormat="1" ht="18" x14ac:dyDescent="0.25">
      <c r="B52" s="176">
        <v>48</v>
      </c>
      <c r="C52" s="175"/>
      <c r="D52" s="178"/>
      <c r="E52" s="176">
        <v>98</v>
      </c>
      <c r="F52" s="175"/>
      <c r="G52" s="181"/>
      <c r="H52" s="182">
        <v>148</v>
      </c>
      <c r="I52" s="175"/>
      <c r="J52" s="181"/>
      <c r="K52" s="182">
        <v>198</v>
      </c>
      <c r="L52" s="175"/>
      <c r="M52" s="2"/>
      <c r="N52" s="2"/>
      <c r="O52" s="2"/>
      <c r="P52" s="2"/>
      <c r="Q52" s="129"/>
      <c r="S52" s="2"/>
      <c r="T52" s="2"/>
      <c r="U52" s="2"/>
      <c r="V52" s="2"/>
      <c r="W52" s="2"/>
      <c r="X52" s="2"/>
      <c r="Y52" s="2"/>
      <c r="Z52" s="2"/>
      <c r="AA52" s="4"/>
      <c r="AB52" s="4"/>
      <c r="AC52" s="4"/>
      <c r="AD52" s="4"/>
      <c r="AE52" s="4"/>
      <c r="AF52" s="4"/>
      <c r="AG52" s="4"/>
      <c r="AH52" s="4"/>
      <c r="AI52" s="81"/>
      <c r="AJ52" s="81"/>
      <c r="AK52" s="81"/>
      <c r="AL52" s="81"/>
      <c r="AM52" s="81"/>
      <c r="AN52" s="81"/>
      <c r="AO52" s="81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5"/>
      <c r="BC52" s="85"/>
      <c r="BD52" s="6"/>
      <c r="BE52" s="7"/>
      <c r="BF52" s="8"/>
      <c r="BG52" s="9"/>
      <c r="BH52" s="10"/>
      <c r="BI52" s="11"/>
      <c r="BJ52" s="10"/>
      <c r="BK52" s="12"/>
      <c r="BL52" s="4"/>
      <c r="BM52" s="4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80"/>
      <c r="CF52" s="80"/>
      <c r="CG52" s="80"/>
      <c r="CH52" s="80"/>
      <c r="CI52" s="80"/>
      <c r="CJ52" s="80"/>
      <c r="CK52" s="80"/>
      <c r="CL52" s="80"/>
      <c r="CM52" s="80"/>
      <c r="CN52" s="80"/>
      <c r="CO52" s="80"/>
      <c r="CP52" s="80"/>
      <c r="CQ52" s="80"/>
      <c r="CR52" s="80"/>
      <c r="CS52" s="80"/>
      <c r="CT52" s="80"/>
      <c r="CU52" s="80"/>
      <c r="CV52" s="80"/>
      <c r="CW52" s="80"/>
      <c r="CX52" s="80"/>
      <c r="CY52" s="80"/>
      <c r="CZ52" s="80"/>
      <c r="DA52" s="80"/>
      <c r="DB52" s="80"/>
      <c r="DC52" s="80"/>
      <c r="DD52" s="80"/>
      <c r="DE52" s="80"/>
      <c r="DF52" s="80"/>
      <c r="DG52" s="80"/>
      <c r="DH52" s="80"/>
    </row>
    <row r="53" spans="1:112" s="74" customFormat="1" ht="21" x14ac:dyDescent="0.35">
      <c r="B53" s="176">
        <v>49</v>
      </c>
      <c r="C53" s="175"/>
      <c r="D53" s="178"/>
      <c r="E53" s="176">
        <v>99</v>
      </c>
      <c r="F53" s="175"/>
      <c r="G53" s="181"/>
      <c r="H53" s="182">
        <v>149</v>
      </c>
      <c r="I53" s="175"/>
      <c r="J53" s="181"/>
      <c r="K53" s="182">
        <v>199</v>
      </c>
      <c r="L53" s="175"/>
      <c r="M53" s="2"/>
      <c r="N53" s="2"/>
      <c r="O53" s="2"/>
      <c r="P53" s="95"/>
      <c r="Q53" s="129"/>
      <c r="S53" s="95"/>
      <c r="T53" s="95"/>
      <c r="U53" s="95"/>
      <c r="V53" s="95"/>
      <c r="W53" s="95"/>
      <c r="X53" s="95"/>
      <c r="Y53" s="95"/>
      <c r="Z53" s="2"/>
      <c r="AA53" s="4"/>
      <c r="AB53" s="4"/>
      <c r="AC53" s="4"/>
      <c r="AD53" s="4"/>
      <c r="AE53" s="4"/>
      <c r="AF53" s="4"/>
      <c r="AG53" s="4"/>
      <c r="AH53" s="4"/>
      <c r="AI53" s="81"/>
      <c r="AJ53" s="81"/>
      <c r="AK53" s="81"/>
      <c r="AL53" s="81"/>
      <c r="AM53" s="81"/>
      <c r="AN53" s="81"/>
      <c r="AO53" s="81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5"/>
      <c r="BC53" s="85"/>
      <c r="BD53" s="6"/>
      <c r="BE53" s="7"/>
      <c r="BF53" s="8"/>
      <c r="BG53" s="9"/>
      <c r="BH53" s="10"/>
      <c r="BI53" s="11"/>
      <c r="BJ53" s="10"/>
      <c r="BK53" s="12"/>
      <c r="BL53" s="4"/>
      <c r="BM53" s="4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80"/>
      <c r="CF53" s="80"/>
      <c r="CG53" s="80"/>
      <c r="CH53" s="80"/>
      <c r="CI53" s="80"/>
      <c r="CJ53" s="80"/>
      <c r="CK53" s="80"/>
      <c r="CL53" s="80"/>
      <c r="CM53" s="80"/>
      <c r="CN53" s="80"/>
      <c r="CO53" s="80"/>
      <c r="CP53" s="80"/>
      <c r="CQ53" s="80"/>
      <c r="CR53" s="80"/>
      <c r="CS53" s="80"/>
      <c r="CT53" s="80"/>
      <c r="CU53" s="80"/>
      <c r="CV53" s="80"/>
      <c r="CW53" s="80"/>
      <c r="CX53" s="80"/>
      <c r="CY53" s="80"/>
      <c r="CZ53" s="80"/>
      <c r="DA53" s="80"/>
      <c r="DB53" s="80"/>
      <c r="DC53" s="80"/>
      <c r="DD53" s="80"/>
      <c r="DE53" s="80"/>
      <c r="DF53" s="80"/>
      <c r="DG53" s="80"/>
      <c r="DH53" s="80"/>
    </row>
    <row r="54" spans="1:112" s="74" customFormat="1" ht="18" x14ac:dyDescent="0.25">
      <c r="B54" s="176">
        <v>50</v>
      </c>
      <c r="C54" s="175"/>
      <c r="D54" s="178"/>
      <c r="E54" s="176">
        <v>100</v>
      </c>
      <c r="F54" s="175"/>
      <c r="G54" s="181"/>
      <c r="H54" s="182">
        <v>150</v>
      </c>
      <c r="I54" s="175"/>
      <c r="J54" s="181"/>
      <c r="K54" s="182">
        <v>200</v>
      </c>
      <c r="L54" s="175"/>
      <c r="M54" s="2"/>
      <c r="N54" s="2"/>
      <c r="O54" s="2"/>
      <c r="P54" s="2"/>
      <c r="Q54" s="129"/>
      <c r="S54" s="2"/>
      <c r="T54" s="2"/>
      <c r="U54" s="2"/>
      <c r="V54" s="2"/>
      <c r="W54" s="2"/>
      <c r="X54" s="2"/>
      <c r="Y54" s="2"/>
      <c r="Z54" s="2"/>
      <c r="AA54" s="4"/>
      <c r="AB54" s="4"/>
      <c r="AC54" s="4"/>
      <c r="AD54" s="4"/>
      <c r="AE54" s="4"/>
      <c r="AF54" s="4"/>
      <c r="AG54" s="4"/>
      <c r="AH54" s="4"/>
      <c r="AI54" s="81"/>
      <c r="AJ54" s="81"/>
      <c r="AK54" s="81"/>
      <c r="AL54" s="81"/>
      <c r="AM54" s="81"/>
      <c r="AN54" s="81"/>
      <c r="AO54" s="81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5"/>
      <c r="BC54" s="85"/>
      <c r="BD54" s="6"/>
      <c r="BE54" s="7"/>
      <c r="BF54" s="8"/>
      <c r="BG54" s="9"/>
      <c r="BH54" s="10"/>
      <c r="BI54" s="11"/>
      <c r="BJ54" s="10"/>
      <c r="BK54" s="12"/>
      <c r="BL54" s="4"/>
      <c r="BM54" s="4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80"/>
      <c r="CF54" s="80"/>
      <c r="CG54" s="80"/>
      <c r="CH54" s="80"/>
      <c r="CI54" s="80"/>
      <c r="CJ54" s="80"/>
      <c r="CK54" s="80"/>
      <c r="CL54" s="80"/>
      <c r="CM54" s="80"/>
      <c r="CN54" s="80"/>
      <c r="CO54" s="80"/>
      <c r="CP54" s="80"/>
      <c r="CQ54" s="80"/>
      <c r="CR54" s="80"/>
      <c r="CS54" s="80"/>
      <c r="CT54" s="80"/>
      <c r="CU54" s="80"/>
      <c r="CV54" s="80"/>
      <c r="CW54" s="80"/>
      <c r="CX54" s="80"/>
      <c r="CY54" s="80"/>
      <c r="CZ54" s="80"/>
      <c r="DA54" s="80"/>
      <c r="DB54" s="80"/>
      <c r="DC54" s="80"/>
      <c r="DD54" s="80"/>
      <c r="DE54" s="80"/>
      <c r="DF54" s="80"/>
      <c r="DG54" s="80"/>
      <c r="DH54" s="80"/>
    </row>
    <row r="55" spans="1:112" s="68" customFormat="1" x14ac:dyDescent="0.3">
      <c r="A55" s="2"/>
      <c r="B55" s="2"/>
      <c r="C55" s="3"/>
      <c r="D55" s="2"/>
      <c r="E55" s="2"/>
      <c r="F55" s="66"/>
      <c r="G55" s="67"/>
      <c r="H55" s="67"/>
      <c r="I55" s="66"/>
      <c r="J55" s="67"/>
      <c r="K55" s="67"/>
      <c r="L55" s="66"/>
      <c r="M55" s="2"/>
      <c r="N55" s="2"/>
      <c r="O55" s="2"/>
      <c r="P55" s="90"/>
      <c r="Q55" s="129"/>
      <c r="S55" s="90"/>
      <c r="T55" s="90"/>
      <c r="U55" s="90"/>
      <c r="V55" s="90"/>
      <c r="W55" s="90"/>
      <c r="X55" s="90"/>
      <c r="Y55" s="90"/>
      <c r="Z55" s="2"/>
      <c r="AA55" s="2"/>
      <c r="AB55" s="2"/>
      <c r="AC55" s="2"/>
      <c r="AD55" s="2"/>
      <c r="AE55" s="2"/>
      <c r="AF55" s="2"/>
      <c r="AG55" s="2"/>
      <c r="AH55" s="2"/>
      <c r="AI55" s="89"/>
      <c r="AJ55" s="89"/>
      <c r="AK55" s="89"/>
      <c r="AL55" s="89"/>
      <c r="AM55" s="89"/>
      <c r="AN55" s="89"/>
      <c r="AO55" s="89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5"/>
      <c r="BC55" s="14"/>
      <c r="BD55" s="6"/>
      <c r="BE55" s="7"/>
      <c r="BF55" s="8"/>
      <c r="BG55" s="9"/>
      <c r="BH55" s="10"/>
      <c r="BI55" s="11"/>
      <c r="BJ55" s="10"/>
      <c r="BK55" s="12"/>
      <c r="BL55" s="2"/>
      <c r="BM55" s="2"/>
    </row>
    <row r="56" spans="1:112" s="2" customFormat="1" x14ac:dyDescent="0.3">
      <c r="C56" s="3"/>
      <c r="F56" s="66"/>
      <c r="G56" s="67"/>
      <c r="H56" s="67"/>
      <c r="I56" s="66"/>
      <c r="J56" s="67"/>
      <c r="K56" s="67"/>
      <c r="L56" s="66"/>
      <c r="P56" s="79"/>
      <c r="Q56" s="129"/>
      <c r="S56" s="79"/>
      <c r="T56" s="79"/>
      <c r="U56" s="79"/>
      <c r="V56" s="79"/>
      <c r="W56" s="79"/>
      <c r="X56" s="79"/>
      <c r="Y56" s="79"/>
      <c r="AI56" s="89"/>
      <c r="AJ56" s="89"/>
      <c r="AK56" s="89"/>
      <c r="AL56" s="89"/>
      <c r="AM56" s="89"/>
      <c r="AN56" s="89"/>
      <c r="AO56" s="89"/>
      <c r="BB56" s="5"/>
      <c r="BC56" s="14"/>
      <c r="BD56" s="6"/>
      <c r="BE56" s="7"/>
      <c r="BF56" s="8"/>
      <c r="BG56" s="9"/>
      <c r="BH56" s="10"/>
      <c r="BI56" s="11"/>
      <c r="BJ56" s="10"/>
      <c r="BK56" s="12"/>
    </row>
    <row r="57" spans="1:112" s="2" customFormat="1" x14ac:dyDescent="0.3">
      <c r="C57" s="3"/>
      <c r="F57" s="66"/>
      <c r="G57" s="67"/>
      <c r="H57" s="67"/>
      <c r="I57" s="66"/>
      <c r="J57" s="67"/>
      <c r="K57" s="67"/>
      <c r="L57" s="66"/>
      <c r="P57" s="91"/>
      <c r="Q57" s="129"/>
      <c r="S57" s="91"/>
      <c r="T57" s="91"/>
      <c r="U57" s="91"/>
      <c r="V57" s="91"/>
      <c r="W57" s="91"/>
      <c r="X57" s="91"/>
      <c r="Y57" s="91"/>
      <c r="AI57" s="89"/>
      <c r="AJ57" s="89"/>
      <c r="AK57" s="89"/>
      <c r="AL57" s="89"/>
      <c r="AM57" s="89"/>
      <c r="AN57" s="89"/>
      <c r="AO57" s="89"/>
      <c r="BB57" s="5"/>
      <c r="BC57" s="14"/>
      <c r="BD57" s="6"/>
      <c r="BE57" s="7"/>
      <c r="BF57" s="8"/>
      <c r="BG57" s="9"/>
      <c r="BH57" s="10"/>
      <c r="BI57" s="11"/>
      <c r="BJ57" s="10"/>
      <c r="BK57" s="12"/>
    </row>
    <row r="58" spans="1:112" s="2" customFormat="1" x14ac:dyDescent="0.3">
      <c r="C58" s="3"/>
      <c r="F58" s="66"/>
      <c r="G58" s="67"/>
      <c r="H58" s="67"/>
      <c r="I58" s="66"/>
      <c r="J58" s="67"/>
      <c r="K58" s="67"/>
      <c r="L58" s="66"/>
      <c r="N58" s="67"/>
      <c r="P58" s="92"/>
      <c r="Q58" s="129"/>
      <c r="S58" s="92"/>
      <c r="T58" s="92"/>
      <c r="U58" s="92"/>
      <c r="V58" s="92"/>
      <c r="W58" s="92"/>
      <c r="X58" s="92"/>
      <c r="Y58" s="92"/>
      <c r="AI58" s="89"/>
      <c r="AJ58" s="89"/>
      <c r="AK58" s="89"/>
      <c r="AL58" s="89"/>
      <c r="AM58" s="89"/>
      <c r="AN58" s="89"/>
      <c r="AO58" s="89"/>
      <c r="BB58" s="5"/>
      <c r="BC58" s="14"/>
      <c r="BD58" s="6"/>
      <c r="BE58" s="7"/>
      <c r="BF58" s="8"/>
      <c r="BG58" s="9"/>
      <c r="BH58" s="10"/>
      <c r="BI58" s="11"/>
      <c r="BJ58" s="10"/>
      <c r="BK58" s="12"/>
    </row>
    <row r="59" spans="1:112" s="2" customFormat="1" x14ac:dyDescent="0.3">
      <c r="C59" s="3"/>
      <c r="E59" s="67"/>
      <c r="F59" s="66"/>
      <c r="G59" s="67"/>
      <c r="H59" s="67"/>
      <c r="I59" s="66"/>
      <c r="J59" s="67"/>
      <c r="K59" s="67"/>
      <c r="L59" s="66"/>
      <c r="P59" s="5"/>
      <c r="Q59" s="79"/>
      <c r="R59" s="6"/>
      <c r="S59" s="7"/>
      <c r="T59" s="8"/>
      <c r="U59" s="9"/>
      <c r="V59" s="10"/>
      <c r="W59" s="11"/>
      <c r="X59" s="10"/>
      <c r="Y59" s="12"/>
      <c r="AI59" s="89"/>
      <c r="AJ59" s="89"/>
      <c r="AK59" s="89"/>
      <c r="AL59" s="89"/>
      <c r="AM59" s="89"/>
      <c r="AN59" s="89"/>
      <c r="AO59" s="89"/>
      <c r="BB59" s="5"/>
      <c r="BC59" s="14"/>
      <c r="BD59" s="6"/>
      <c r="BE59" s="7"/>
      <c r="BF59" s="8"/>
      <c r="BG59" s="9"/>
      <c r="BH59" s="10"/>
      <c r="BI59" s="11"/>
      <c r="BJ59" s="10"/>
      <c r="BK59" s="12"/>
    </row>
    <row r="60" spans="1:112" s="2" customFormat="1" x14ac:dyDescent="0.3">
      <c r="C60" s="3"/>
      <c r="F60" s="3"/>
      <c r="I60" s="3"/>
      <c r="L60" s="3"/>
      <c r="P60" s="5"/>
      <c r="Q60" s="91"/>
      <c r="R60" s="6"/>
      <c r="S60" s="7"/>
      <c r="T60" s="8"/>
      <c r="U60" s="9"/>
      <c r="V60" s="10"/>
      <c r="W60" s="11"/>
      <c r="X60" s="10"/>
      <c r="Y60" s="12"/>
      <c r="AI60" s="89"/>
      <c r="AJ60" s="89"/>
      <c r="AK60" s="89"/>
      <c r="AL60" s="89"/>
      <c r="AM60" s="89"/>
      <c r="AN60" s="89"/>
      <c r="AO60" s="89"/>
      <c r="BB60" s="5"/>
      <c r="BC60" s="14"/>
      <c r="BD60" s="6"/>
      <c r="BE60" s="7"/>
      <c r="BF60" s="8"/>
      <c r="BG60" s="9"/>
      <c r="BH60" s="10"/>
      <c r="BI60" s="11"/>
      <c r="BJ60" s="10"/>
      <c r="BK60" s="12"/>
    </row>
    <row r="61" spans="1:112" s="2" customFormat="1" x14ac:dyDescent="0.3">
      <c r="C61" s="3"/>
      <c r="F61" s="3"/>
      <c r="I61" s="3"/>
      <c r="L61" s="3"/>
      <c r="P61" s="5"/>
      <c r="Q61" s="92"/>
      <c r="R61" s="6"/>
      <c r="S61" s="7"/>
      <c r="T61" s="8"/>
      <c r="U61" s="9"/>
      <c r="V61" s="10"/>
      <c r="W61" s="11"/>
      <c r="X61" s="10"/>
      <c r="Y61" s="12"/>
      <c r="AI61" s="89"/>
      <c r="AJ61" s="89"/>
      <c r="AK61" s="89"/>
      <c r="AL61" s="89"/>
      <c r="AM61" s="89"/>
      <c r="AN61" s="89"/>
      <c r="AO61" s="89"/>
      <c r="BB61" s="5"/>
      <c r="BC61" s="14"/>
      <c r="BD61" s="6"/>
      <c r="BE61" s="7"/>
      <c r="BF61" s="8"/>
      <c r="BG61" s="9"/>
      <c r="BH61" s="10"/>
      <c r="BI61" s="11"/>
      <c r="BJ61" s="10"/>
      <c r="BK61" s="12"/>
    </row>
    <row r="62" spans="1:112" s="2" customFormat="1" x14ac:dyDescent="0.3">
      <c r="C62" s="3"/>
      <c r="F62" s="3"/>
      <c r="I62" s="3"/>
      <c r="L62" s="3"/>
      <c r="P62" s="5"/>
      <c r="Q62" s="93"/>
      <c r="R62" s="6"/>
      <c r="S62" s="7"/>
      <c r="T62" s="8"/>
      <c r="U62" s="9"/>
      <c r="V62" s="10"/>
      <c r="W62" s="11"/>
      <c r="X62" s="10"/>
      <c r="Y62" s="12"/>
      <c r="AI62" s="89"/>
      <c r="AJ62" s="89"/>
      <c r="AK62" s="89"/>
      <c r="AL62" s="89"/>
      <c r="AM62" s="89"/>
      <c r="AN62" s="89"/>
      <c r="AO62" s="89"/>
      <c r="BB62" s="5"/>
      <c r="BC62" s="14"/>
      <c r="BD62" s="6"/>
      <c r="BE62" s="7"/>
      <c r="BF62" s="8"/>
      <c r="BG62" s="9"/>
      <c r="BH62" s="10"/>
      <c r="BI62" s="11"/>
      <c r="BJ62" s="10"/>
      <c r="BK62" s="12"/>
    </row>
    <row r="63" spans="1:112" s="2" customFormat="1" x14ac:dyDescent="0.3">
      <c r="C63" s="3"/>
      <c r="F63" s="3"/>
      <c r="I63" s="3"/>
      <c r="L63" s="3"/>
      <c r="P63" s="5"/>
      <c r="Q63" s="93"/>
      <c r="R63" s="6"/>
      <c r="S63" s="7"/>
      <c r="T63" s="8"/>
      <c r="U63" s="9"/>
      <c r="V63" s="10"/>
      <c r="W63" s="11"/>
      <c r="X63" s="10"/>
      <c r="Y63" s="12"/>
      <c r="AI63" s="89"/>
      <c r="AJ63" s="89"/>
      <c r="AK63" s="89"/>
      <c r="AL63" s="89"/>
      <c r="AM63" s="89"/>
      <c r="AN63" s="89"/>
      <c r="AO63" s="89"/>
      <c r="BB63" s="5"/>
      <c r="BC63" s="14"/>
      <c r="BD63" s="6"/>
      <c r="BE63" s="7"/>
      <c r="BF63" s="8"/>
      <c r="BG63" s="9"/>
      <c r="BH63" s="10"/>
      <c r="BI63" s="11"/>
      <c r="BJ63" s="10"/>
      <c r="BK63" s="12"/>
    </row>
    <row r="64" spans="1:112" s="2" customFormat="1" x14ac:dyDescent="0.3">
      <c r="C64" s="3"/>
      <c r="F64" s="3"/>
      <c r="I64" s="3"/>
      <c r="L64" s="3"/>
      <c r="P64" s="5"/>
      <c r="Q64" s="93"/>
      <c r="R64" s="6"/>
      <c r="S64" s="7"/>
      <c r="T64" s="8"/>
      <c r="U64" s="9"/>
      <c r="V64" s="10"/>
      <c r="W64" s="11"/>
      <c r="X64" s="10"/>
      <c r="Y64" s="12"/>
      <c r="AI64" s="89"/>
      <c r="AJ64" s="89"/>
      <c r="AK64" s="89"/>
      <c r="AL64" s="89"/>
      <c r="AM64" s="89"/>
      <c r="AN64" s="89"/>
      <c r="AO64" s="89"/>
      <c r="BB64" s="5"/>
      <c r="BC64" s="14"/>
      <c r="BD64" s="6"/>
      <c r="BE64" s="7"/>
      <c r="BF64" s="8"/>
      <c r="BG64" s="9"/>
      <c r="BH64" s="10"/>
      <c r="BI64" s="11"/>
      <c r="BJ64" s="10"/>
      <c r="BK64" s="12"/>
    </row>
    <row r="65" spans="3:63" s="2" customFormat="1" x14ac:dyDescent="0.3">
      <c r="C65" s="3"/>
      <c r="F65" s="3"/>
      <c r="I65" s="3"/>
      <c r="L65" s="3"/>
      <c r="P65" s="5"/>
      <c r="Q65" s="93"/>
      <c r="S65" s="7"/>
      <c r="T65" s="8"/>
      <c r="U65" s="9"/>
      <c r="V65" s="10"/>
      <c r="W65" s="11"/>
      <c r="X65" s="10"/>
      <c r="Y65" s="12"/>
      <c r="AI65" s="89"/>
      <c r="AJ65" s="89"/>
      <c r="AK65" s="89"/>
      <c r="AL65" s="89"/>
      <c r="AM65" s="89"/>
      <c r="AN65" s="89"/>
      <c r="AO65" s="89"/>
      <c r="BB65" s="5"/>
      <c r="BC65" s="14"/>
      <c r="BD65" s="6"/>
      <c r="BE65" s="7"/>
      <c r="BF65" s="8"/>
      <c r="BG65" s="9"/>
      <c r="BH65" s="10"/>
      <c r="BI65" s="11"/>
      <c r="BJ65" s="10"/>
      <c r="BK65" s="12"/>
    </row>
    <row r="66" spans="3:63" s="2" customFormat="1" ht="21" x14ac:dyDescent="0.35">
      <c r="C66" s="3"/>
      <c r="F66" s="3"/>
      <c r="I66" s="3"/>
      <c r="L66" s="3"/>
      <c r="P66" s="5"/>
      <c r="Q66" s="93"/>
      <c r="R66" s="95"/>
      <c r="S66" s="7"/>
      <c r="T66" s="8"/>
      <c r="U66" s="9"/>
      <c r="V66" s="10"/>
      <c r="W66" s="11"/>
      <c r="X66" s="10"/>
      <c r="Y66" s="12"/>
      <c r="AI66" s="89"/>
      <c r="AJ66" s="89"/>
      <c r="AK66" s="89"/>
      <c r="AL66" s="89"/>
      <c r="AM66" s="89"/>
      <c r="AN66" s="89"/>
      <c r="AO66" s="89"/>
      <c r="BB66" s="5"/>
      <c r="BC66" s="14"/>
      <c r="BD66" s="6"/>
      <c r="BE66" s="7"/>
      <c r="BF66" s="8"/>
      <c r="BG66" s="9"/>
      <c r="BH66" s="10"/>
      <c r="BI66" s="11"/>
      <c r="BJ66" s="10"/>
      <c r="BK66" s="12"/>
    </row>
    <row r="67" spans="3:63" s="2" customFormat="1" x14ac:dyDescent="0.3">
      <c r="C67" s="3"/>
      <c r="F67" s="3"/>
      <c r="I67" s="3"/>
      <c r="L67" s="3"/>
      <c r="P67" s="5"/>
      <c r="Q67" s="93"/>
      <c r="R67" s="89"/>
      <c r="S67" s="7"/>
      <c r="T67" s="8"/>
      <c r="U67" s="9"/>
      <c r="V67" s="10"/>
      <c r="W67" s="11"/>
      <c r="X67" s="10"/>
      <c r="Y67" s="12"/>
      <c r="AI67" s="89"/>
      <c r="AJ67" s="89"/>
      <c r="AK67" s="89"/>
      <c r="AL67" s="89"/>
      <c r="AM67" s="89"/>
      <c r="AN67" s="89"/>
      <c r="AO67" s="89"/>
      <c r="BB67" s="5"/>
      <c r="BC67" s="14"/>
      <c r="BD67" s="6"/>
      <c r="BE67" s="7"/>
      <c r="BF67" s="8"/>
      <c r="BG67" s="9"/>
      <c r="BH67" s="10"/>
      <c r="BI67" s="11"/>
      <c r="BJ67" s="10"/>
      <c r="BK67" s="12"/>
    </row>
    <row r="68" spans="3:63" s="2" customFormat="1" x14ac:dyDescent="0.3">
      <c r="C68" s="3"/>
      <c r="F68" s="3"/>
      <c r="I68" s="3"/>
      <c r="L68" s="3"/>
      <c r="P68" s="5"/>
      <c r="Q68" s="93"/>
      <c r="R68" s="89"/>
      <c r="S68" s="7"/>
      <c r="T68" s="8"/>
      <c r="U68" s="9"/>
      <c r="V68" s="10"/>
      <c r="W68" s="11"/>
      <c r="X68" s="10"/>
      <c r="Y68" s="12"/>
      <c r="AI68" s="89"/>
      <c r="AJ68" s="89"/>
      <c r="AK68" s="89"/>
      <c r="AL68" s="89"/>
      <c r="AM68" s="89"/>
      <c r="AN68" s="89"/>
      <c r="AO68" s="89"/>
      <c r="BB68" s="5"/>
      <c r="BC68" s="14"/>
      <c r="BD68" s="6"/>
      <c r="BE68" s="7"/>
      <c r="BF68" s="8"/>
      <c r="BG68" s="9"/>
      <c r="BH68" s="10"/>
      <c r="BI68" s="11"/>
      <c r="BJ68" s="10"/>
      <c r="BK68" s="12"/>
    </row>
    <row r="69" spans="3:63" s="2" customFormat="1" x14ac:dyDescent="0.3">
      <c r="C69" s="3"/>
      <c r="F69" s="3"/>
      <c r="I69" s="3"/>
      <c r="L69" s="3"/>
      <c r="P69" s="5"/>
      <c r="Q69" s="93"/>
      <c r="R69" s="89"/>
      <c r="S69" s="7"/>
      <c r="T69" s="8"/>
      <c r="U69" s="9"/>
      <c r="V69" s="10"/>
      <c r="W69" s="11"/>
      <c r="X69" s="10"/>
      <c r="Y69" s="12"/>
      <c r="AI69" s="89"/>
      <c r="AJ69" s="89"/>
      <c r="AK69" s="89"/>
      <c r="AL69" s="89"/>
      <c r="AM69" s="89"/>
      <c r="AN69" s="89"/>
      <c r="AO69" s="89"/>
      <c r="BB69" s="5"/>
      <c r="BC69" s="14"/>
      <c r="BD69" s="6"/>
      <c r="BE69" s="7"/>
      <c r="BF69" s="8"/>
      <c r="BG69" s="9"/>
      <c r="BH69" s="10"/>
      <c r="BI69" s="11"/>
      <c r="BJ69" s="10"/>
      <c r="BK69" s="12"/>
    </row>
    <row r="70" spans="3:63" s="2" customFormat="1" x14ac:dyDescent="0.3">
      <c r="C70" s="3"/>
      <c r="F70" s="3"/>
      <c r="I70" s="3"/>
      <c r="L70" s="3"/>
      <c r="Q70" s="93"/>
      <c r="R70" s="89"/>
      <c r="AI70" s="89"/>
      <c r="AJ70" s="89"/>
      <c r="AK70" s="89"/>
      <c r="AL70" s="89"/>
      <c r="AM70" s="89"/>
      <c r="AN70" s="89"/>
      <c r="AO70" s="89"/>
      <c r="BB70" s="5"/>
      <c r="BC70" s="14"/>
      <c r="BD70" s="6"/>
      <c r="BE70" s="7"/>
      <c r="BF70" s="8"/>
      <c r="BG70" s="9"/>
      <c r="BH70" s="10"/>
      <c r="BI70" s="11"/>
      <c r="BJ70" s="10"/>
      <c r="BK70" s="12"/>
    </row>
    <row r="71" spans="3:63" s="2" customFormat="1" ht="21" x14ac:dyDescent="0.35">
      <c r="C71" s="3"/>
      <c r="F71" s="3"/>
      <c r="I71" s="3"/>
      <c r="L71" s="3"/>
      <c r="P71" s="95"/>
      <c r="Q71" s="93"/>
      <c r="R71" s="89"/>
      <c r="S71" s="95"/>
      <c r="T71" s="95"/>
      <c r="U71" s="95"/>
      <c r="V71" s="95"/>
      <c r="W71" s="95"/>
      <c r="X71" s="95"/>
      <c r="Y71" s="95"/>
      <c r="AI71" s="89"/>
      <c r="AJ71" s="89"/>
      <c r="AK71" s="89"/>
      <c r="AL71" s="89"/>
      <c r="AM71" s="89"/>
      <c r="AN71" s="89"/>
      <c r="AO71" s="89"/>
      <c r="BB71" s="5"/>
      <c r="BC71" s="14"/>
      <c r="BD71" s="6"/>
      <c r="BE71" s="7"/>
      <c r="BF71" s="8"/>
      <c r="BG71" s="9"/>
      <c r="BH71" s="10"/>
      <c r="BI71" s="11"/>
      <c r="BJ71" s="10"/>
      <c r="BK71" s="12"/>
    </row>
    <row r="72" spans="3:63" s="2" customFormat="1" x14ac:dyDescent="0.3">
      <c r="C72" s="3"/>
      <c r="F72" s="3"/>
      <c r="I72" s="3"/>
      <c r="L72" s="3"/>
      <c r="Q72" s="93"/>
      <c r="R72" s="89"/>
      <c r="S72" s="93"/>
      <c r="V72" s="94"/>
      <c r="W72" s="89"/>
      <c r="Y72" s="14"/>
      <c r="AI72" s="89"/>
      <c r="AJ72" s="89"/>
      <c r="AK72" s="89"/>
      <c r="AL72" s="89"/>
      <c r="AM72" s="89"/>
      <c r="AN72" s="89"/>
      <c r="AO72" s="89"/>
      <c r="BB72" s="5"/>
      <c r="BC72" s="14"/>
      <c r="BD72" s="6"/>
      <c r="BE72" s="7"/>
      <c r="BF72" s="8"/>
      <c r="BG72" s="9"/>
      <c r="BH72" s="10"/>
      <c r="BI72" s="11"/>
      <c r="BJ72" s="10"/>
      <c r="BK72" s="12"/>
    </row>
    <row r="73" spans="3:63" s="2" customFormat="1" x14ac:dyDescent="0.3">
      <c r="C73" s="3"/>
      <c r="F73" s="3"/>
      <c r="I73" s="3"/>
      <c r="L73" s="3"/>
      <c r="R73" s="89"/>
      <c r="S73" s="93"/>
      <c r="V73" s="94"/>
      <c r="W73" s="89"/>
      <c r="Y73" s="14"/>
      <c r="AI73" s="89"/>
      <c r="AJ73" s="89"/>
      <c r="AK73" s="89"/>
      <c r="AL73" s="89"/>
      <c r="AM73" s="89"/>
      <c r="AN73" s="89"/>
      <c r="AO73" s="89"/>
      <c r="BB73" s="5"/>
      <c r="BC73" s="14"/>
      <c r="BD73" s="6"/>
      <c r="BE73" s="7"/>
      <c r="BF73" s="8"/>
      <c r="BG73" s="9"/>
      <c r="BH73" s="10"/>
      <c r="BI73" s="11"/>
      <c r="BJ73" s="10"/>
      <c r="BK73" s="12"/>
    </row>
    <row r="74" spans="3:63" s="2" customFormat="1" ht="21" x14ac:dyDescent="0.35">
      <c r="C74" s="3"/>
      <c r="F74" s="3"/>
      <c r="I74" s="3"/>
      <c r="L74" s="3"/>
      <c r="Q74" s="95"/>
      <c r="R74" s="89"/>
      <c r="S74" s="93"/>
      <c r="V74" s="94"/>
      <c r="W74" s="89"/>
      <c r="Y74" s="14"/>
      <c r="AI74" s="89"/>
      <c r="AJ74" s="89"/>
      <c r="AK74" s="89"/>
      <c r="AL74" s="89"/>
      <c r="AM74" s="89"/>
      <c r="AN74" s="89"/>
      <c r="AO74" s="89"/>
      <c r="BB74" s="5"/>
      <c r="BC74" s="14"/>
      <c r="BD74" s="6"/>
      <c r="BE74" s="7"/>
      <c r="BF74" s="8"/>
      <c r="BG74" s="9"/>
      <c r="BH74" s="10"/>
      <c r="BI74" s="11"/>
      <c r="BJ74" s="10"/>
      <c r="BK74" s="12"/>
    </row>
    <row r="75" spans="3:63" s="2" customFormat="1" x14ac:dyDescent="0.3">
      <c r="C75" s="3"/>
      <c r="F75" s="3"/>
      <c r="I75" s="3"/>
      <c r="L75" s="3"/>
      <c r="R75" s="89"/>
      <c r="S75" s="93"/>
      <c r="V75" s="94"/>
      <c r="W75" s="89"/>
      <c r="Y75" s="14"/>
      <c r="AI75" s="89"/>
      <c r="AJ75" s="89"/>
      <c r="AK75" s="89"/>
      <c r="AL75" s="89"/>
      <c r="AM75" s="89"/>
      <c r="AN75" s="89"/>
      <c r="AO75" s="89"/>
      <c r="BB75" s="5"/>
      <c r="BC75" s="14"/>
      <c r="BD75" s="6"/>
      <c r="BE75" s="7"/>
      <c r="BF75" s="8"/>
      <c r="BG75" s="9"/>
      <c r="BH75" s="10"/>
      <c r="BI75" s="11"/>
      <c r="BJ75" s="10"/>
      <c r="BK75" s="12"/>
    </row>
    <row r="76" spans="3:63" s="2" customFormat="1" x14ac:dyDescent="0.3">
      <c r="C76" s="3"/>
      <c r="F76" s="3"/>
      <c r="I76" s="3"/>
      <c r="L76" s="3"/>
      <c r="R76" s="89"/>
      <c r="S76" s="93"/>
      <c r="Y76" s="14"/>
      <c r="AI76" s="89"/>
      <c r="AJ76" s="89"/>
      <c r="AK76" s="89"/>
      <c r="AL76" s="89"/>
      <c r="AM76" s="89"/>
      <c r="AN76" s="89"/>
      <c r="AO76" s="89"/>
      <c r="BB76" s="5"/>
      <c r="BC76" s="14"/>
      <c r="BD76" s="6"/>
      <c r="BE76" s="7"/>
      <c r="BF76" s="8"/>
      <c r="BG76" s="9"/>
      <c r="BH76" s="10"/>
      <c r="BI76" s="11"/>
      <c r="BJ76" s="10"/>
      <c r="BK76" s="12"/>
    </row>
    <row r="77" spans="3:63" s="2" customFormat="1" x14ac:dyDescent="0.3">
      <c r="C77" s="3"/>
      <c r="F77" s="3"/>
      <c r="I77" s="3"/>
      <c r="L77" s="3"/>
      <c r="R77" s="89"/>
      <c r="S77" s="93"/>
      <c r="Y77" s="14"/>
      <c r="AI77" s="89"/>
      <c r="AJ77" s="89"/>
      <c r="AK77" s="89"/>
      <c r="AL77" s="89"/>
      <c r="AM77" s="89"/>
      <c r="AN77" s="89"/>
      <c r="AO77" s="89"/>
      <c r="BB77" s="5"/>
      <c r="BC77" s="14"/>
      <c r="BD77" s="6"/>
      <c r="BE77" s="7"/>
      <c r="BF77" s="8"/>
      <c r="BG77" s="9"/>
      <c r="BH77" s="10"/>
      <c r="BI77" s="11"/>
      <c r="BJ77" s="10"/>
      <c r="BK77" s="12"/>
    </row>
    <row r="78" spans="3:63" s="2" customFormat="1" x14ac:dyDescent="0.3">
      <c r="C78" s="3"/>
      <c r="F78" s="3"/>
      <c r="I78" s="3"/>
      <c r="L78" s="3"/>
      <c r="R78" s="89"/>
      <c r="S78" s="93"/>
      <c r="Y78" s="14"/>
      <c r="AI78" s="89"/>
      <c r="AJ78" s="89"/>
      <c r="AK78" s="89"/>
      <c r="AL78" s="89"/>
      <c r="AM78" s="89"/>
      <c r="AN78" s="89"/>
      <c r="AO78" s="89"/>
      <c r="BB78" s="5"/>
      <c r="BC78" s="14"/>
      <c r="BD78" s="6"/>
      <c r="BE78" s="7"/>
      <c r="BF78" s="8"/>
      <c r="BG78" s="9"/>
      <c r="BH78" s="10"/>
      <c r="BI78" s="11"/>
      <c r="BJ78" s="10"/>
      <c r="BK78" s="12"/>
    </row>
    <row r="79" spans="3:63" s="2" customFormat="1" x14ac:dyDescent="0.3">
      <c r="C79" s="3"/>
      <c r="F79" s="3"/>
      <c r="I79" s="3"/>
      <c r="L79" s="3"/>
      <c r="R79" s="89"/>
      <c r="S79" s="93"/>
      <c r="Y79" s="14"/>
      <c r="AI79" s="89"/>
      <c r="AJ79" s="89"/>
      <c r="AK79" s="89"/>
      <c r="AL79" s="89"/>
      <c r="AM79" s="89"/>
      <c r="AN79" s="89"/>
      <c r="AO79" s="89"/>
      <c r="BB79" s="5"/>
      <c r="BC79" s="14"/>
      <c r="BD79" s="6"/>
      <c r="BE79" s="7"/>
      <c r="BF79" s="8"/>
      <c r="BG79" s="9"/>
      <c r="BH79" s="10"/>
      <c r="BI79" s="11"/>
      <c r="BJ79" s="10"/>
      <c r="BK79" s="12"/>
    </row>
    <row r="80" spans="3:63" s="2" customFormat="1" x14ac:dyDescent="0.3">
      <c r="C80" s="3"/>
      <c r="F80" s="3"/>
      <c r="I80" s="3"/>
      <c r="L80" s="3"/>
      <c r="R80" s="89"/>
      <c r="S80" s="93"/>
      <c r="Y80" s="14"/>
      <c r="AI80" s="89"/>
      <c r="AJ80" s="89"/>
      <c r="AK80" s="89"/>
      <c r="AL80" s="89"/>
      <c r="AM80" s="89"/>
      <c r="AN80" s="89"/>
      <c r="AO80" s="89"/>
      <c r="BB80" s="5"/>
      <c r="BC80" s="14"/>
      <c r="BD80" s="6"/>
      <c r="BE80" s="7"/>
      <c r="BF80" s="8"/>
      <c r="BG80" s="9"/>
      <c r="BH80" s="10"/>
      <c r="BI80" s="11"/>
      <c r="BJ80" s="10"/>
      <c r="BK80" s="12"/>
    </row>
    <row r="81" spans="3:63" s="2" customFormat="1" x14ac:dyDescent="0.3">
      <c r="C81" s="3"/>
      <c r="F81" s="3"/>
      <c r="I81" s="3"/>
      <c r="L81" s="3"/>
      <c r="R81" s="89"/>
      <c r="S81" s="93"/>
      <c r="Y81" s="14"/>
      <c r="AI81" s="89"/>
      <c r="AJ81" s="89"/>
      <c r="AK81" s="89"/>
      <c r="AL81" s="89"/>
      <c r="AM81" s="89"/>
      <c r="AN81" s="89"/>
      <c r="AO81" s="89"/>
      <c r="BB81" s="5"/>
      <c r="BC81" s="14"/>
      <c r="BD81" s="6"/>
      <c r="BE81" s="7"/>
      <c r="BF81" s="8"/>
      <c r="BG81" s="9"/>
      <c r="BH81" s="10"/>
      <c r="BI81" s="11"/>
      <c r="BJ81" s="10"/>
      <c r="BK81" s="12"/>
    </row>
    <row r="82" spans="3:63" s="2" customFormat="1" x14ac:dyDescent="0.3">
      <c r="C82" s="3"/>
      <c r="F82" s="3"/>
      <c r="I82" s="3"/>
      <c r="L82" s="3"/>
      <c r="R82" s="89"/>
      <c r="S82" s="93"/>
      <c r="Y82" s="14"/>
      <c r="AI82" s="89"/>
      <c r="AJ82" s="89"/>
      <c r="AK82" s="89"/>
      <c r="AL82" s="89"/>
      <c r="AM82" s="89"/>
      <c r="AN82" s="89"/>
      <c r="AO82" s="89"/>
      <c r="BB82" s="5"/>
      <c r="BC82" s="14"/>
      <c r="BD82" s="6"/>
      <c r="BE82" s="7"/>
      <c r="BF82" s="8"/>
      <c r="BG82" s="9"/>
      <c r="BH82" s="10"/>
      <c r="BI82" s="11"/>
      <c r="BJ82" s="10"/>
      <c r="BK82" s="12"/>
    </row>
    <row r="83" spans="3:63" s="2" customFormat="1" x14ac:dyDescent="0.3">
      <c r="C83" s="3"/>
      <c r="F83" s="3"/>
      <c r="I83" s="3"/>
      <c r="L83" s="3"/>
      <c r="R83" s="89"/>
      <c r="S83" s="93"/>
      <c r="Y83" s="14"/>
      <c r="AI83" s="89"/>
      <c r="AJ83" s="89"/>
      <c r="AK83" s="89"/>
      <c r="AL83" s="89"/>
      <c r="AM83" s="89"/>
      <c r="AN83" s="89"/>
      <c r="AO83" s="89"/>
      <c r="BB83" s="5"/>
      <c r="BC83" s="14"/>
      <c r="BD83" s="6"/>
      <c r="BE83" s="7"/>
      <c r="BF83" s="8"/>
      <c r="BG83" s="9"/>
      <c r="BH83" s="10"/>
      <c r="BI83" s="11"/>
      <c r="BJ83" s="10"/>
      <c r="BK83" s="12"/>
    </row>
    <row r="84" spans="3:63" s="2" customFormat="1" x14ac:dyDescent="0.3">
      <c r="C84" s="3"/>
      <c r="F84" s="3"/>
      <c r="I84" s="3"/>
      <c r="L84" s="3"/>
      <c r="R84" s="89"/>
      <c r="S84" s="93"/>
      <c r="Y84" s="14"/>
      <c r="AI84" s="89"/>
      <c r="AJ84" s="89"/>
      <c r="AK84" s="89"/>
      <c r="AL84" s="89"/>
      <c r="AM84" s="89"/>
      <c r="AN84" s="89"/>
      <c r="AO84" s="89"/>
      <c r="BB84" s="5"/>
      <c r="BC84" s="14"/>
      <c r="BD84" s="6"/>
      <c r="BE84" s="7"/>
      <c r="BF84" s="8"/>
      <c r="BG84" s="9"/>
      <c r="BH84" s="10"/>
      <c r="BI84" s="11"/>
      <c r="BJ84" s="10"/>
      <c r="BK84" s="12"/>
    </row>
    <row r="85" spans="3:63" s="2" customFormat="1" x14ac:dyDescent="0.3">
      <c r="C85" s="3"/>
      <c r="F85" s="3"/>
      <c r="I85" s="3"/>
      <c r="L85" s="3"/>
      <c r="R85" s="89"/>
      <c r="S85" s="93"/>
      <c r="Y85" s="14"/>
      <c r="AI85" s="89"/>
      <c r="AJ85" s="89"/>
      <c r="AK85" s="89"/>
      <c r="AL85" s="89"/>
      <c r="AM85" s="89"/>
      <c r="AN85" s="89"/>
      <c r="AO85" s="89"/>
      <c r="BB85" s="5"/>
      <c r="BC85" s="14"/>
      <c r="BD85" s="6"/>
      <c r="BE85" s="7"/>
      <c r="BF85" s="8"/>
      <c r="BG85" s="9"/>
      <c r="BH85" s="10"/>
      <c r="BI85" s="11"/>
      <c r="BJ85" s="10"/>
      <c r="BK85" s="12"/>
    </row>
    <row r="86" spans="3:63" s="2" customFormat="1" x14ac:dyDescent="0.3">
      <c r="C86" s="3"/>
      <c r="F86" s="3"/>
      <c r="I86" s="3"/>
      <c r="L86" s="3"/>
      <c r="R86" s="89"/>
      <c r="S86" s="93"/>
      <c r="Y86" s="14"/>
      <c r="AI86" s="89"/>
      <c r="AJ86" s="89"/>
      <c r="AK86" s="89"/>
      <c r="AL86" s="89"/>
      <c r="AM86" s="89"/>
      <c r="AN86" s="89"/>
      <c r="AO86" s="89"/>
      <c r="BB86" s="5"/>
      <c r="BC86" s="14"/>
      <c r="BD86" s="6"/>
      <c r="BE86" s="7"/>
      <c r="BF86" s="8"/>
      <c r="BG86" s="9"/>
      <c r="BH86" s="10"/>
      <c r="BI86" s="11"/>
      <c r="BJ86" s="10"/>
      <c r="BK86" s="12"/>
    </row>
    <row r="87" spans="3:63" s="2" customFormat="1" x14ac:dyDescent="0.3">
      <c r="C87" s="3"/>
      <c r="F87" s="3"/>
      <c r="I87" s="3"/>
      <c r="L87" s="3"/>
      <c r="R87" s="89"/>
      <c r="S87" s="93"/>
      <c r="Y87" s="14"/>
      <c r="AI87" s="89"/>
      <c r="AJ87" s="89"/>
      <c r="AK87" s="89"/>
      <c r="AL87" s="89"/>
      <c r="AM87" s="89"/>
      <c r="AN87" s="89"/>
      <c r="AO87" s="89"/>
      <c r="BB87" s="5"/>
      <c r="BC87" s="14"/>
      <c r="BD87" s="6"/>
      <c r="BE87" s="7"/>
      <c r="BF87" s="8"/>
      <c r="BG87" s="9"/>
      <c r="BH87" s="10"/>
      <c r="BI87" s="11"/>
      <c r="BJ87" s="10"/>
      <c r="BK87" s="12"/>
    </row>
    <row r="88" spans="3:63" s="2" customFormat="1" x14ac:dyDescent="0.3">
      <c r="C88" s="3"/>
      <c r="F88" s="3"/>
      <c r="I88" s="3"/>
      <c r="L88" s="3"/>
      <c r="R88" s="89"/>
      <c r="S88" s="93"/>
      <c r="Y88" s="14"/>
      <c r="AI88" s="89"/>
      <c r="AJ88" s="89"/>
      <c r="AK88" s="89"/>
      <c r="AL88" s="89"/>
      <c r="AM88" s="89"/>
      <c r="AN88" s="89"/>
      <c r="AO88" s="89"/>
      <c r="BB88" s="5"/>
      <c r="BC88" s="14"/>
      <c r="BD88" s="6"/>
      <c r="BE88" s="7"/>
      <c r="BF88" s="8"/>
      <c r="BG88" s="9"/>
      <c r="BH88" s="10"/>
      <c r="BI88" s="11"/>
      <c r="BJ88" s="10"/>
      <c r="BK88" s="12"/>
    </row>
    <row r="89" spans="3:63" s="2" customFormat="1" x14ac:dyDescent="0.3">
      <c r="C89" s="3"/>
      <c r="F89" s="3"/>
      <c r="I89" s="3"/>
      <c r="L89" s="3"/>
      <c r="R89" s="89"/>
      <c r="S89" s="93"/>
      <c r="Y89" s="14"/>
      <c r="AI89" s="89"/>
      <c r="AJ89" s="89"/>
      <c r="AK89" s="89"/>
      <c r="AL89" s="89"/>
      <c r="AM89" s="89"/>
      <c r="AN89" s="89"/>
      <c r="AO89" s="89"/>
      <c r="BB89" s="5"/>
      <c r="BC89" s="14"/>
      <c r="BD89" s="6"/>
      <c r="BE89" s="7"/>
      <c r="BF89" s="8"/>
      <c r="BG89" s="9"/>
      <c r="BH89" s="10"/>
      <c r="BI89" s="11"/>
      <c r="BJ89" s="10"/>
      <c r="BK89" s="12"/>
    </row>
    <row r="90" spans="3:63" s="2" customFormat="1" x14ac:dyDescent="0.3">
      <c r="C90" s="3"/>
      <c r="F90" s="3"/>
      <c r="I90" s="3"/>
      <c r="L90" s="3"/>
      <c r="S90" s="93"/>
      <c r="Y90" s="14"/>
      <c r="AI90" s="89"/>
      <c r="AJ90" s="89"/>
      <c r="AK90" s="89"/>
      <c r="AL90" s="89"/>
      <c r="AM90" s="89"/>
      <c r="AN90" s="89"/>
      <c r="AO90" s="89"/>
      <c r="BB90" s="5"/>
      <c r="BC90" s="14"/>
      <c r="BD90" s="6"/>
      <c r="BE90" s="7"/>
      <c r="BF90" s="8"/>
      <c r="BG90" s="9"/>
      <c r="BH90" s="10"/>
      <c r="BI90" s="11"/>
      <c r="BJ90" s="10"/>
      <c r="BK90" s="12"/>
    </row>
    <row r="91" spans="3:63" s="2" customFormat="1" x14ac:dyDescent="0.3">
      <c r="C91" s="3"/>
      <c r="F91" s="3"/>
      <c r="I91" s="3"/>
      <c r="L91" s="3"/>
      <c r="S91" s="93"/>
      <c r="Y91" s="14"/>
      <c r="AI91" s="89"/>
      <c r="AJ91" s="89"/>
      <c r="AK91" s="89"/>
      <c r="AL91" s="89"/>
      <c r="AM91" s="89"/>
      <c r="AN91" s="89"/>
      <c r="AO91" s="89"/>
      <c r="BB91" s="5"/>
      <c r="BC91" s="14"/>
      <c r="BD91" s="6"/>
      <c r="BE91" s="7"/>
      <c r="BF91" s="8"/>
      <c r="BG91" s="9"/>
      <c r="BH91" s="10"/>
      <c r="BI91" s="11"/>
      <c r="BJ91" s="10"/>
      <c r="BK91" s="12"/>
    </row>
    <row r="92" spans="3:63" s="2" customFormat="1" x14ac:dyDescent="0.3">
      <c r="C92" s="3"/>
      <c r="F92" s="3"/>
      <c r="I92" s="3"/>
      <c r="L92" s="3"/>
      <c r="S92" s="93"/>
      <c r="Y92" s="14"/>
      <c r="AI92" s="89"/>
      <c r="AJ92" s="89"/>
      <c r="AK92" s="89"/>
      <c r="AL92" s="89"/>
      <c r="AM92" s="89"/>
      <c r="AN92" s="89"/>
      <c r="AO92" s="89"/>
      <c r="BB92" s="5"/>
      <c r="BC92" s="14"/>
      <c r="BD92" s="6"/>
      <c r="BE92" s="7"/>
      <c r="BF92" s="8"/>
      <c r="BG92" s="9"/>
      <c r="BH92" s="10"/>
      <c r="BI92" s="11"/>
      <c r="BJ92" s="10"/>
      <c r="BK92" s="12"/>
    </row>
    <row r="93" spans="3:63" s="2" customFormat="1" x14ac:dyDescent="0.3">
      <c r="C93" s="3"/>
      <c r="F93" s="3"/>
      <c r="I93" s="3"/>
      <c r="L93" s="3"/>
      <c r="S93" s="93"/>
      <c r="AI93" s="89"/>
      <c r="AJ93" s="89"/>
      <c r="AK93" s="89"/>
      <c r="AL93" s="89"/>
      <c r="AM93" s="89"/>
      <c r="AN93" s="89"/>
      <c r="AO93" s="89"/>
      <c r="BB93" s="5"/>
      <c r="BC93" s="14"/>
      <c r="BD93" s="6"/>
      <c r="BE93" s="7"/>
      <c r="BF93" s="8"/>
      <c r="BG93" s="9"/>
      <c r="BH93" s="10"/>
      <c r="BI93" s="11"/>
      <c r="BJ93" s="10"/>
      <c r="BK93" s="12"/>
    </row>
    <row r="94" spans="3:63" s="2" customFormat="1" x14ac:dyDescent="0.3">
      <c r="C94" s="3"/>
      <c r="F94" s="3"/>
      <c r="I94" s="3"/>
      <c r="L94" s="3"/>
      <c r="S94" s="93"/>
      <c r="AI94" s="89"/>
      <c r="AJ94" s="89"/>
      <c r="AK94" s="89"/>
      <c r="AL94" s="89"/>
      <c r="AM94" s="89"/>
      <c r="AN94" s="89"/>
      <c r="AO94" s="89"/>
      <c r="BB94" s="5"/>
      <c r="BC94" s="14"/>
      <c r="BD94" s="6"/>
      <c r="BE94" s="7"/>
      <c r="BF94" s="8"/>
      <c r="BG94" s="9"/>
      <c r="BH94" s="10"/>
      <c r="BI94" s="11"/>
      <c r="BJ94" s="10"/>
      <c r="BK94" s="12"/>
    </row>
    <row r="95" spans="3:63" s="2" customFormat="1" x14ac:dyDescent="0.3">
      <c r="C95" s="3"/>
      <c r="F95" s="3"/>
      <c r="I95" s="3"/>
      <c r="L95" s="3"/>
      <c r="AI95" s="89"/>
      <c r="AJ95" s="89"/>
      <c r="AK95" s="89"/>
      <c r="AL95" s="89"/>
      <c r="AM95" s="89"/>
      <c r="AN95" s="89"/>
      <c r="AO95" s="89"/>
      <c r="BB95" s="5"/>
      <c r="BC95" s="14"/>
      <c r="BD95" s="6"/>
      <c r="BE95" s="7"/>
      <c r="BF95" s="8"/>
      <c r="BG95" s="9"/>
      <c r="BH95" s="10"/>
      <c r="BI95" s="11"/>
      <c r="BJ95" s="10"/>
      <c r="BK95" s="12"/>
    </row>
    <row r="96" spans="3:63" s="2" customFormat="1" x14ac:dyDescent="0.3">
      <c r="C96" s="3"/>
      <c r="F96" s="3"/>
      <c r="I96" s="3"/>
      <c r="L96" s="3"/>
      <c r="AI96" s="89"/>
      <c r="AJ96" s="89"/>
      <c r="AK96" s="89"/>
      <c r="AL96" s="89"/>
      <c r="AM96" s="89"/>
      <c r="AN96" s="89"/>
      <c r="AO96" s="89"/>
      <c r="BB96" s="5"/>
      <c r="BC96" s="14"/>
      <c r="BD96" s="6"/>
      <c r="BE96" s="7"/>
      <c r="BF96" s="8"/>
      <c r="BG96" s="9"/>
      <c r="BH96" s="10"/>
      <c r="BI96" s="11"/>
      <c r="BJ96" s="10"/>
      <c r="BK96" s="12"/>
    </row>
    <row r="97" spans="3:63" s="2" customFormat="1" x14ac:dyDescent="0.3">
      <c r="C97" s="3"/>
      <c r="F97" s="3"/>
      <c r="I97" s="3"/>
      <c r="L97" s="3"/>
      <c r="AI97" s="89"/>
      <c r="AJ97" s="89"/>
      <c r="AK97" s="89"/>
      <c r="AL97" s="89"/>
      <c r="AM97" s="89"/>
      <c r="AN97" s="89"/>
      <c r="AO97" s="89"/>
      <c r="BB97" s="5"/>
      <c r="BC97" s="14"/>
      <c r="BD97" s="6"/>
      <c r="BE97" s="7"/>
      <c r="BF97" s="8"/>
      <c r="BG97" s="9"/>
      <c r="BH97" s="10"/>
      <c r="BI97" s="11"/>
      <c r="BJ97" s="10"/>
      <c r="BK97" s="12"/>
    </row>
    <row r="98" spans="3:63" s="2" customFormat="1" x14ac:dyDescent="0.3">
      <c r="C98" s="3"/>
      <c r="F98" s="3"/>
      <c r="I98" s="3"/>
      <c r="L98" s="3"/>
      <c r="AI98" s="89"/>
      <c r="AJ98" s="89"/>
      <c r="AK98" s="89"/>
      <c r="AL98" s="89"/>
      <c r="AM98" s="89"/>
      <c r="AN98" s="89"/>
      <c r="AO98" s="89"/>
      <c r="BB98" s="5"/>
      <c r="BC98" s="14"/>
      <c r="BD98" s="6"/>
      <c r="BE98" s="7"/>
      <c r="BF98" s="8"/>
      <c r="BG98" s="9"/>
      <c r="BH98" s="10"/>
      <c r="BI98" s="11"/>
      <c r="BJ98" s="10"/>
      <c r="BK98" s="12"/>
    </row>
    <row r="99" spans="3:63" s="2" customFormat="1" x14ac:dyDescent="0.3">
      <c r="C99" s="3"/>
      <c r="F99" s="3"/>
      <c r="I99" s="3"/>
      <c r="L99" s="3"/>
      <c r="AI99" s="89"/>
      <c r="AJ99" s="89"/>
      <c r="AK99" s="89"/>
      <c r="AL99" s="89"/>
      <c r="AM99" s="89"/>
      <c r="AN99" s="89"/>
      <c r="AO99" s="89"/>
      <c r="BB99" s="5"/>
      <c r="BC99" s="14"/>
      <c r="BD99" s="6"/>
      <c r="BE99" s="7"/>
      <c r="BF99" s="8"/>
      <c r="BG99" s="9"/>
      <c r="BH99" s="10"/>
      <c r="BI99" s="11"/>
      <c r="BJ99" s="10"/>
      <c r="BK99" s="12"/>
    </row>
    <row r="100" spans="3:63" s="2" customFormat="1" x14ac:dyDescent="0.3">
      <c r="C100" s="3"/>
      <c r="F100" s="3"/>
      <c r="I100" s="3"/>
      <c r="L100" s="3"/>
      <c r="AI100" s="89"/>
      <c r="AJ100" s="89"/>
      <c r="AK100" s="89"/>
      <c r="AL100" s="89"/>
      <c r="AM100" s="89"/>
      <c r="AN100" s="89"/>
      <c r="AO100" s="89"/>
      <c r="BB100" s="5"/>
      <c r="BC100" s="14"/>
      <c r="BD100" s="6"/>
      <c r="BE100" s="7"/>
      <c r="BF100" s="8"/>
      <c r="BG100" s="9"/>
      <c r="BH100" s="10"/>
      <c r="BI100" s="11"/>
      <c r="BJ100" s="10"/>
      <c r="BK100" s="12"/>
    </row>
    <row r="101" spans="3:63" s="2" customFormat="1" x14ac:dyDescent="0.3">
      <c r="C101" s="3"/>
      <c r="F101" s="3"/>
      <c r="I101" s="3"/>
      <c r="L101" s="3"/>
      <c r="AI101" s="89"/>
      <c r="AJ101" s="89"/>
      <c r="AK101" s="89"/>
      <c r="AL101" s="89"/>
      <c r="AM101" s="89"/>
      <c r="AN101" s="89"/>
      <c r="AO101" s="89"/>
      <c r="BB101" s="5"/>
      <c r="BC101" s="14"/>
      <c r="BD101" s="6"/>
      <c r="BE101" s="7"/>
      <c r="BF101" s="8"/>
      <c r="BG101" s="9"/>
      <c r="BH101" s="10"/>
      <c r="BI101" s="11"/>
      <c r="BJ101" s="10"/>
      <c r="BK101" s="12"/>
    </row>
    <row r="102" spans="3:63" s="2" customFormat="1" x14ac:dyDescent="0.3">
      <c r="C102" s="3"/>
      <c r="F102" s="3"/>
      <c r="I102" s="3"/>
      <c r="L102" s="3"/>
      <c r="AI102" s="89"/>
      <c r="AJ102" s="89"/>
      <c r="AK102" s="89"/>
      <c r="AL102" s="89"/>
      <c r="AM102" s="89"/>
      <c r="AN102" s="89"/>
      <c r="AO102" s="89"/>
      <c r="BB102" s="5"/>
      <c r="BC102" s="14"/>
      <c r="BD102" s="6"/>
      <c r="BE102" s="7"/>
      <c r="BF102" s="8"/>
      <c r="BG102" s="9"/>
      <c r="BH102" s="10"/>
      <c r="BI102" s="11"/>
      <c r="BJ102" s="10"/>
      <c r="BK102" s="12"/>
    </row>
    <row r="103" spans="3:63" s="2" customFormat="1" x14ac:dyDescent="0.3">
      <c r="C103" s="3"/>
      <c r="F103" s="3"/>
      <c r="I103" s="3"/>
      <c r="L103" s="3"/>
      <c r="AI103" s="89"/>
      <c r="AJ103" s="89"/>
      <c r="AK103" s="89"/>
      <c r="AL103" s="89"/>
      <c r="AM103" s="89"/>
      <c r="AN103" s="89"/>
      <c r="AO103" s="89"/>
      <c r="BB103" s="5"/>
      <c r="BC103" s="14"/>
      <c r="BD103" s="6"/>
      <c r="BE103" s="7"/>
      <c r="BF103" s="8"/>
      <c r="BG103" s="9"/>
      <c r="BH103" s="10"/>
      <c r="BI103" s="11"/>
      <c r="BJ103" s="10"/>
      <c r="BK103" s="12"/>
    </row>
    <row r="104" spans="3:63" s="2" customFormat="1" x14ac:dyDescent="0.3">
      <c r="C104" s="3"/>
      <c r="F104" s="3"/>
      <c r="I104" s="3"/>
      <c r="L104" s="3"/>
      <c r="AI104" s="89"/>
      <c r="AJ104" s="89"/>
      <c r="AK104" s="89"/>
      <c r="AL104" s="89"/>
      <c r="AM104" s="89"/>
      <c r="AN104" s="89"/>
      <c r="AO104" s="89"/>
      <c r="BB104" s="5"/>
      <c r="BC104" s="14"/>
      <c r="BD104" s="6"/>
      <c r="BE104" s="7"/>
      <c r="BF104" s="8"/>
      <c r="BG104" s="9"/>
      <c r="BH104" s="10"/>
      <c r="BI104" s="11"/>
      <c r="BJ104" s="10"/>
      <c r="BK104" s="12"/>
    </row>
    <row r="105" spans="3:63" s="2" customFormat="1" x14ac:dyDescent="0.3">
      <c r="C105" s="3"/>
      <c r="F105" s="3"/>
      <c r="I105" s="3"/>
      <c r="L105" s="3"/>
      <c r="AI105" s="89"/>
      <c r="AJ105" s="89"/>
      <c r="AK105" s="89"/>
      <c r="AL105" s="89"/>
      <c r="AM105" s="89"/>
      <c r="AN105" s="89"/>
      <c r="AO105" s="89"/>
      <c r="BB105" s="5"/>
      <c r="BC105" s="14"/>
      <c r="BD105" s="6"/>
      <c r="BE105" s="7"/>
      <c r="BF105" s="8"/>
      <c r="BG105" s="9"/>
      <c r="BH105" s="10"/>
      <c r="BI105" s="11"/>
      <c r="BJ105" s="10"/>
      <c r="BK105" s="12"/>
    </row>
    <row r="106" spans="3:63" s="2" customFormat="1" x14ac:dyDescent="0.3">
      <c r="C106" s="3"/>
      <c r="F106" s="3"/>
      <c r="I106" s="3"/>
      <c r="L106" s="3"/>
      <c r="AI106" s="89"/>
      <c r="AJ106" s="89"/>
      <c r="AK106" s="89"/>
      <c r="AL106" s="89"/>
      <c r="AM106" s="89"/>
      <c r="AN106" s="89"/>
      <c r="AO106" s="89"/>
      <c r="BB106" s="5"/>
      <c r="BC106" s="14"/>
      <c r="BD106" s="6"/>
      <c r="BE106" s="7"/>
      <c r="BF106" s="8"/>
      <c r="BG106" s="9"/>
      <c r="BH106" s="10"/>
      <c r="BI106" s="11"/>
      <c r="BJ106" s="10"/>
      <c r="BK106" s="12"/>
    </row>
    <row r="107" spans="3:63" s="2" customFormat="1" x14ac:dyDescent="0.3">
      <c r="C107" s="3"/>
      <c r="F107" s="3"/>
      <c r="I107" s="3"/>
      <c r="L107" s="3"/>
      <c r="AI107" s="89"/>
      <c r="AJ107" s="89"/>
      <c r="AK107" s="89"/>
      <c r="AL107" s="89"/>
      <c r="AM107" s="89"/>
      <c r="AN107" s="89"/>
      <c r="AO107" s="89"/>
      <c r="BB107" s="5"/>
      <c r="BC107" s="14"/>
      <c r="BD107" s="6"/>
      <c r="BE107" s="7"/>
      <c r="BF107" s="8"/>
      <c r="BG107" s="9"/>
      <c r="BH107" s="10"/>
      <c r="BI107" s="11"/>
      <c r="BJ107" s="10"/>
      <c r="BK107" s="12"/>
    </row>
    <row r="108" spans="3:63" s="2" customFormat="1" x14ac:dyDescent="0.3">
      <c r="C108" s="3"/>
      <c r="F108" s="3"/>
      <c r="I108" s="3"/>
      <c r="L108" s="3"/>
      <c r="AI108" s="89"/>
      <c r="AJ108" s="89"/>
      <c r="AK108" s="89"/>
      <c r="AL108" s="89"/>
      <c r="AM108" s="89"/>
      <c r="AN108" s="89"/>
      <c r="AO108" s="89"/>
      <c r="BB108" s="5"/>
      <c r="BC108" s="14"/>
      <c r="BD108" s="6"/>
      <c r="BE108" s="7"/>
      <c r="BF108" s="8"/>
      <c r="BG108" s="9"/>
      <c r="BH108" s="10"/>
      <c r="BI108" s="11"/>
      <c r="BJ108" s="10"/>
      <c r="BK108" s="12"/>
    </row>
    <row r="109" spans="3:63" s="2" customFormat="1" x14ac:dyDescent="0.3">
      <c r="C109" s="3"/>
      <c r="F109" s="3"/>
      <c r="I109" s="3"/>
      <c r="L109" s="3"/>
      <c r="AI109" s="89"/>
      <c r="AJ109" s="89"/>
      <c r="AK109" s="89"/>
      <c r="AL109" s="89"/>
      <c r="AM109" s="89"/>
      <c r="AN109" s="89"/>
      <c r="AO109" s="89"/>
      <c r="BB109" s="5"/>
      <c r="BC109" s="14"/>
      <c r="BD109" s="6"/>
      <c r="BE109" s="7"/>
      <c r="BF109" s="8"/>
      <c r="BG109" s="9"/>
      <c r="BH109" s="10"/>
      <c r="BI109" s="11"/>
      <c r="BJ109" s="10"/>
      <c r="BK109" s="12"/>
    </row>
    <row r="110" spans="3:63" s="2" customFormat="1" x14ac:dyDescent="0.3">
      <c r="C110" s="3"/>
      <c r="F110" s="3"/>
      <c r="I110" s="3"/>
      <c r="L110" s="3"/>
      <c r="AI110" s="89"/>
      <c r="AJ110" s="89"/>
      <c r="AK110" s="89"/>
      <c r="AL110" s="89"/>
      <c r="AM110" s="89"/>
      <c r="AN110" s="89"/>
      <c r="AO110" s="89"/>
      <c r="BB110" s="5"/>
      <c r="BC110" s="14"/>
      <c r="BD110" s="6"/>
      <c r="BE110" s="7"/>
      <c r="BF110" s="8"/>
      <c r="BG110" s="9"/>
      <c r="BH110" s="10"/>
      <c r="BI110" s="11"/>
      <c r="BJ110" s="10"/>
      <c r="BK110" s="12"/>
    </row>
    <row r="111" spans="3:63" s="2" customFormat="1" x14ac:dyDescent="0.3">
      <c r="C111" s="3"/>
      <c r="F111" s="3"/>
      <c r="I111" s="3"/>
      <c r="L111" s="3"/>
      <c r="AI111" s="89"/>
      <c r="AJ111" s="89"/>
      <c r="AK111" s="89"/>
      <c r="AL111" s="89"/>
      <c r="AM111" s="89"/>
      <c r="AN111" s="89"/>
      <c r="AO111" s="89"/>
      <c r="BB111" s="5"/>
      <c r="BC111" s="14"/>
      <c r="BD111" s="6"/>
      <c r="BE111" s="7"/>
      <c r="BF111" s="8"/>
      <c r="BG111" s="9"/>
      <c r="BH111" s="10"/>
      <c r="BI111" s="11"/>
      <c r="BJ111" s="10"/>
      <c r="BK111" s="12"/>
    </row>
    <row r="112" spans="3:63" s="2" customFormat="1" x14ac:dyDescent="0.3">
      <c r="C112" s="3"/>
      <c r="F112" s="3"/>
      <c r="I112" s="3"/>
      <c r="L112" s="3"/>
      <c r="AI112" s="89"/>
      <c r="AJ112" s="89"/>
      <c r="AK112" s="89"/>
      <c r="AL112" s="89"/>
      <c r="AM112" s="89"/>
      <c r="AN112" s="89"/>
      <c r="AO112" s="89"/>
      <c r="BB112" s="5"/>
    </row>
    <row r="113" spans="3:54" s="2" customFormat="1" x14ac:dyDescent="0.3">
      <c r="C113" s="3"/>
      <c r="F113" s="3"/>
      <c r="I113" s="3"/>
      <c r="L113" s="3"/>
      <c r="AI113" s="89"/>
      <c r="AJ113" s="89"/>
      <c r="AK113" s="89"/>
      <c r="AL113" s="89"/>
      <c r="AM113" s="89"/>
      <c r="AN113" s="89"/>
      <c r="AO113" s="89"/>
      <c r="BB113" s="5"/>
    </row>
    <row r="114" spans="3:54" s="2" customFormat="1" x14ac:dyDescent="0.3">
      <c r="C114" s="3"/>
      <c r="F114" s="3"/>
      <c r="I114" s="3"/>
      <c r="L114" s="3"/>
      <c r="AI114" s="89"/>
      <c r="AJ114" s="89"/>
      <c r="AK114" s="89"/>
      <c r="AL114" s="89"/>
      <c r="AM114" s="89"/>
      <c r="AN114" s="89"/>
      <c r="AO114" s="89"/>
      <c r="BB114" s="5"/>
    </row>
    <row r="115" spans="3:54" s="2" customFormat="1" x14ac:dyDescent="0.3">
      <c r="C115" s="3"/>
      <c r="F115" s="3"/>
      <c r="I115" s="3"/>
      <c r="L115" s="3"/>
      <c r="AI115" s="89"/>
      <c r="AJ115" s="89"/>
      <c r="AK115" s="89"/>
      <c r="AL115" s="89"/>
      <c r="AM115" s="89"/>
      <c r="AN115" s="89"/>
      <c r="AO115" s="89"/>
      <c r="BB115" s="5"/>
    </row>
    <row r="116" spans="3:54" s="2" customFormat="1" x14ac:dyDescent="0.3">
      <c r="C116" s="3"/>
      <c r="F116" s="3"/>
      <c r="I116" s="3"/>
      <c r="L116" s="3"/>
      <c r="AI116" s="89"/>
      <c r="AJ116" s="89"/>
      <c r="AK116" s="89"/>
      <c r="AL116" s="89"/>
      <c r="AM116" s="89"/>
      <c r="AN116" s="89"/>
      <c r="AO116" s="89"/>
      <c r="BB116" s="5"/>
    </row>
    <row r="117" spans="3:54" s="2" customFormat="1" x14ac:dyDescent="0.3">
      <c r="C117" s="3"/>
      <c r="F117" s="3"/>
      <c r="I117" s="3"/>
      <c r="L117" s="3"/>
      <c r="AI117" s="89"/>
      <c r="AJ117" s="89"/>
      <c r="AK117" s="89"/>
      <c r="AL117" s="89"/>
      <c r="AM117" s="89"/>
      <c r="AN117" s="89"/>
      <c r="AO117" s="89"/>
      <c r="BB117" s="5"/>
    </row>
    <row r="118" spans="3:54" s="2" customFormat="1" x14ac:dyDescent="0.3">
      <c r="C118" s="3"/>
      <c r="F118" s="3"/>
      <c r="I118" s="3"/>
      <c r="L118" s="3"/>
      <c r="AI118" s="89"/>
      <c r="AJ118" s="89"/>
      <c r="AK118" s="89"/>
      <c r="AL118" s="89"/>
      <c r="AM118" s="89"/>
      <c r="AN118" s="89"/>
      <c r="AO118" s="89"/>
      <c r="BB118" s="5"/>
    </row>
    <row r="119" spans="3:54" s="2" customFormat="1" x14ac:dyDescent="0.3">
      <c r="C119" s="3"/>
      <c r="F119" s="3"/>
      <c r="I119" s="3"/>
      <c r="L119" s="3"/>
      <c r="AI119" s="89"/>
      <c r="AJ119" s="89"/>
      <c r="AK119" s="89"/>
      <c r="AL119" s="89"/>
      <c r="AM119" s="89"/>
      <c r="AN119" s="89"/>
      <c r="AO119" s="89"/>
      <c r="BB119" s="5"/>
    </row>
    <row r="120" spans="3:54" s="2" customFormat="1" x14ac:dyDescent="0.3">
      <c r="C120" s="3"/>
      <c r="F120" s="3"/>
      <c r="I120" s="3"/>
      <c r="L120" s="3"/>
      <c r="AI120" s="89"/>
      <c r="AJ120" s="89"/>
      <c r="AK120" s="89"/>
      <c r="AL120" s="89"/>
      <c r="AM120" s="89"/>
      <c r="AN120" s="89"/>
      <c r="AO120" s="89"/>
      <c r="BB120" s="5"/>
    </row>
    <row r="121" spans="3:54" s="2" customFormat="1" x14ac:dyDescent="0.3">
      <c r="C121" s="3"/>
      <c r="F121" s="3"/>
      <c r="I121" s="3"/>
      <c r="L121" s="3"/>
      <c r="AI121" s="89"/>
      <c r="AJ121" s="89"/>
      <c r="AK121" s="89"/>
      <c r="AL121" s="89"/>
      <c r="AM121" s="89"/>
      <c r="AN121" s="89"/>
      <c r="AO121" s="89"/>
      <c r="BB121" s="5"/>
    </row>
    <row r="122" spans="3:54" s="2" customFormat="1" x14ac:dyDescent="0.3">
      <c r="C122" s="3"/>
      <c r="F122" s="3"/>
      <c r="I122" s="3"/>
      <c r="L122" s="3"/>
      <c r="AI122" s="89"/>
      <c r="AJ122" s="89"/>
      <c r="AK122" s="89"/>
      <c r="AL122" s="89"/>
      <c r="AM122" s="89"/>
      <c r="AN122" s="89"/>
      <c r="AO122" s="89"/>
      <c r="BB122" s="5"/>
    </row>
    <row r="123" spans="3:54" s="2" customFormat="1" x14ac:dyDescent="0.3">
      <c r="C123" s="3"/>
      <c r="F123" s="3"/>
      <c r="I123" s="3"/>
      <c r="L123" s="3"/>
      <c r="AI123" s="89"/>
      <c r="AJ123" s="89"/>
      <c r="AK123" s="89"/>
      <c r="AL123" s="89"/>
      <c r="AM123" s="89"/>
      <c r="AN123" s="89"/>
      <c r="AO123" s="89"/>
      <c r="BB123" s="5"/>
    </row>
    <row r="124" spans="3:54" s="2" customFormat="1" x14ac:dyDescent="0.3">
      <c r="C124" s="3"/>
      <c r="F124" s="3"/>
      <c r="I124" s="3"/>
      <c r="L124" s="3"/>
      <c r="AI124" s="89"/>
      <c r="AJ124" s="89"/>
      <c r="AK124" s="89"/>
      <c r="AL124" s="89"/>
      <c r="AM124" s="89"/>
      <c r="AN124" s="89"/>
      <c r="AO124" s="89"/>
      <c r="BB124" s="5"/>
    </row>
    <row r="125" spans="3:54" s="2" customFormat="1" x14ac:dyDescent="0.3">
      <c r="C125" s="3"/>
      <c r="F125" s="3"/>
      <c r="I125" s="3"/>
      <c r="L125" s="3"/>
      <c r="AI125" s="89"/>
      <c r="AJ125" s="89"/>
      <c r="AK125" s="89"/>
      <c r="AL125" s="89"/>
      <c r="AM125" s="89"/>
      <c r="AN125" s="89"/>
      <c r="AO125" s="89"/>
      <c r="BB125" s="5"/>
    </row>
    <row r="126" spans="3:54" s="2" customFormat="1" x14ac:dyDescent="0.3">
      <c r="C126" s="3"/>
      <c r="F126" s="3"/>
      <c r="I126" s="3"/>
      <c r="L126" s="3"/>
      <c r="AI126" s="89"/>
      <c r="AJ126" s="89"/>
      <c r="AK126" s="89"/>
      <c r="AL126" s="89"/>
      <c r="AM126" s="89"/>
      <c r="AN126" s="89"/>
      <c r="AO126" s="89"/>
      <c r="BB126" s="5"/>
    </row>
    <row r="127" spans="3:54" s="2" customFormat="1" x14ac:dyDescent="0.3">
      <c r="C127" s="3"/>
      <c r="F127" s="3"/>
      <c r="I127" s="3"/>
      <c r="L127" s="3"/>
      <c r="AI127" s="89"/>
      <c r="AJ127" s="89"/>
      <c r="AK127" s="89"/>
      <c r="AL127" s="89"/>
      <c r="AM127" s="89"/>
      <c r="AN127" s="89"/>
      <c r="AO127" s="89"/>
      <c r="BB127" s="5"/>
    </row>
    <row r="128" spans="3:54" s="2" customFormat="1" x14ac:dyDescent="0.3">
      <c r="C128" s="3"/>
      <c r="F128" s="3"/>
      <c r="I128" s="3"/>
      <c r="L128" s="3"/>
      <c r="AI128" s="89"/>
      <c r="AJ128" s="89"/>
      <c r="AK128" s="89"/>
      <c r="AL128" s="89"/>
      <c r="AM128" s="89"/>
      <c r="AN128" s="89"/>
      <c r="AO128" s="89"/>
      <c r="BB128" s="5"/>
    </row>
    <row r="129" spans="3:41" s="2" customFormat="1" x14ac:dyDescent="0.3">
      <c r="C129" s="3"/>
      <c r="F129" s="3"/>
      <c r="I129" s="3"/>
      <c r="L129" s="3"/>
      <c r="AI129" s="89"/>
      <c r="AJ129" s="89"/>
      <c r="AK129" s="89"/>
      <c r="AL129" s="89"/>
      <c r="AM129" s="89"/>
      <c r="AN129" s="89"/>
      <c r="AO129" s="89"/>
    </row>
    <row r="130" spans="3:41" s="2" customFormat="1" x14ac:dyDescent="0.3">
      <c r="C130" s="3"/>
      <c r="F130" s="3"/>
      <c r="I130" s="3"/>
      <c r="L130" s="3"/>
      <c r="AI130" s="89"/>
      <c r="AJ130" s="89"/>
      <c r="AK130" s="89"/>
      <c r="AL130" s="89"/>
      <c r="AM130" s="89"/>
      <c r="AN130" s="89"/>
      <c r="AO130" s="89"/>
    </row>
    <row r="131" spans="3:41" s="2" customFormat="1" x14ac:dyDescent="0.3">
      <c r="C131" s="3"/>
      <c r="F131" s="3"/>
      <c r="I131" s="3"/>
      <c r="L131" s="3"/>
      <c r="AI131" s="89"/>
      <c r="AJ131" s="89"/>
      <c r="AK131" s="89"/>
      <c r="AL131" s="89"/>
      <c r="AM131" s="89"/>
      <c r="AN131" s="89"/>
      <c r="AO131" s="89"/>
    </row>
    <row r="132" spans="3:41" s="2" customFormat="1" x14ac:dyDescent="0.3">
      <c r="C132" s="3"/>
      <c r="F132" s="3"/>
      <c r="I132" s="3"/>
      <c r="L132" s="3"/>
      <c r="AI132" s="89"/>
      <c r="AJ132" s="89"/>
      <c r="AK132" s="89"/>
      <c r="AL132" s="89"/>
      <c r="AM132" s="89"/>
      <c r="AN132" s="89"/>
      <c r="AO132" s="89"/>
    </row>
    <row r="133" spans="3:41" s="2" customFormat="1" x14ac:dyDescent="0.3">
      <c r="C133" s="3"/>
      <c r="F133" s="3"/>
      <c r="I133" s="3"/>
      <c r="L133" s="3"/>
      <c r="AI133" s="89"/>
      <c r="AJ133" s="89"/>
      <c r="AK133" s="89"/>
      <c r="AL133" s="89"/>
      <c r="AM133" s="89"/>
      <c r="AN133" s="89"/>
      <c r="AO133" s="89"/>
    </row>
    <row r="134" spans="3:41" s="2" customFormat="1" x14ac:dyDescent="0.3">
      <c r="C134" s="3"/>
      <c r="F134" s="3"/>
      <c r="I134" s="3"/>
      <c r="L134" s="3"/>
      <c r="AI134" s="89"/>
      <c r="AJ134" s="89"/>
      <c r="AK134" s="89"/>
      <c r="AL134" s="89"/>
      <c r="AM134" s="89"/>
      <c r="AN134" s="89"/>
      <c r="AO134" s="89"/>
    </row>
    <row r="135" spans="3:41" s="2" customFormat="1" x14ac:dyDescent="0.3">
      <c r="C135" s="3"/>
      <c r="F135" s="3"/>
      <c r="I135" s="3"/>
      <c r="L135" s="3"/>
      <c r="AI135" s="89"/>
      <c r="AJ135" s="89"/>
      <c r="AK135" s="89"/>
      <c r="AL135" s="89"/>
      <c r="AM135" s="89"/>
      <c r="AN135" s="89"/>
      <c r="AO135" s="89"/>
    </row>
    <row r="136" spans="3:41" s="2" customFormat="1" x14ac:dyDescent="0.3">
      <c r="C136" s="3"/>
      <c r="F136" s="3"/>
      <c r="I136" s="3"/>
      <c r="L136" s="3"/>
      <c r="AI136" s="89"/>
      <c r="AJ136" s="89"/>
      <c r="AK136" s="89"/>
      <c r="AL136" s="89"/>
      <c r="AM136" s="89"/>
      <c r="AN136" s="89"/>
      <c r="AO136" s="89"/>
    </row>
    <row r="137" spans="3:41" s="2" customFormat="1" x14ac:dyDescent="0.3">
      <c r="C137" s="3"/>
      <c r="F137" s="3"/>
      <c r="I137" s="3"/>
      <c r="L137" s="3"/>
      <c r="AI137" s="89"/>
      <c r="AJ137" s="89"/>
      <c r="AK137" s="89"/>
      <c r="AL137" s="89"/>
      <c r="AM137" s="89"/>
      <c r="AN137" s="89"/>
      <c r="AO137" s="89"/>
    </row>
    <row r="138" spans="3:41" s="2" customFormat="1" x14ac:dyDescent="0.3">
      <c r="C138" s="3"/>
      <c r="F138" s="3"/>
      <c r="I138" s="3"/>
      <c r="L138" s="3"/>
      <c r="AI138" s="89"/>
      <c r="AJ138" s="89"/>
      <c r="AK138" s="89"/>
      <c r="AL138" s="89"/>
      <c r="AM138" s="89"/>
      <c r="AN138" s="89"/>
      <c r="AO138" s="89"/>
    </row>
    <row r="139" spans="3:41" s="2" customFormat="1" x14ac:dyDescent="0.3">
      <c r="C139" s="3"/>
      <c r="F139" s="3"/>
      <c r="I139" s="3"/>
      <c r="L139" s="3"/>
      <c r="AI139" s="89"/>
      <c r="AJ139" s="89"/>
      <c r="AK139" s="89"/>
      <c r="AL139" s="89"/>
      <c r="AM139" s="89"/>
      <c r="AN139" s="89"/>
      <c r="AO139" s="89"/>
    </row>
    <row r="140" spans="3:41" s="2" customFormat="1" x14ac:dyDescent="0.3">
      <c r="C140" s="3"/>
      <c r="F140" s="3"/>
      <c r="I140" s="3"/>
      <c r="L140" s="3"/>
      <c r="AI140" s="89"/>
      <c r="AJ140" s="89"/>
      <c r="AK140" s="89"/>
      <c r="AL140" s="89"/>
      <c r="AM140" s="89"/>
      <c r="AN140" s="89"/>
      <c r="AO140" s="89"/>
    </row>
    <row r="141" spans="3:41" s="2" customFormat="1" x14ac:dyDescent="0.3">
      <c r="C141" s="3"/>
      <c r="F141" s="3"/>
      <c r="I141" s="3"/>
      <c r="L141" s="3"/>
      <c r="AI141" s="89"/>
      <c r="AJ141" s="89"/>
      <c r="AK141" s="89"/>
      <c r="AL141" s="89"/>
      <c r="AM141" s="89"/>
      <c r="AN141" s="89"/>
      <c r="AO141" s="89"/>
    </row>
    <row r="142" spans="3:41" s="2" customFormat="1" x14ac:dyDescent="0.3">
      <c r="C142" s="3"/>
      <c r="F142" s="3"/>
      <c r="I142" s="3"/>
      <c r="L142" s="3"/>
      <c r="AI142" s="89"/>
      <c r="AJ142" s="89"/>
      <c r="AK142" s="89"/>
      <c r="AL142" s="89"/>
      <c r="AM142" s="89"/>
      <c r="AN142" s="89"/>
      <c r="AO142" s="89"/>
    </row>
    <row r="143" spans="3:41" s="2" customFormat="1" x14ac:dyDescent="0.3">
      <c r="C143" s="3"/>
      <c r="F143" s="3"/>
      <c r="I143" s="3"/>
      <c r="L143" s="3"/>
      <c r="AI143" s="89"/>
      <c r="AJ143" s="89"/>
      <c r="AK143" s="89"/>
      <c r="AL143" s="89"/>
      <c r="AM143" s="89"/>
      <c r="AN143" s="89"/>
      <c r="AO143" s="89"/>
    </row>
    <row r="144" spans="3:41" s="2" customFormat="1" x14ac:dyDescent="0.3">
      <c r="C144" s="3"/>
      <c r="F144" s="3"/>
      <c r="I144" s="3"/>
      <c r="L144" s="3"/>
      <c r="AI144" s="89"/>
      <c r="AJ144" s="89"/>
      <c r="AK144" s="89"/>
      <c r="AL144" s="89"/>
      <c r="AM144" s="89"/>
      <c r="AN144" s="89"/>
      <c r="AO144" s="89"/>
    </row>
    <row r="145" spans="3:41" s="2" customFormat="1" x14ac:dyDescent="0.3">
      <c r="C145" s="3"/>
      <c r="F145" s="3"/>
      <c r="I145" s="3"/>
      <c r="L145" s="3"/>
      <c r="AI145" s="89"/>
      <c r="AJ145" s="89"/>
      <c r="AK145" s="89"/>
      <c r="AL145" s="89"/>
      <c r="AM145" s="89"/>
      <c r="AN145" s="89"/>
      <c r="AO145" s="89"/>
    </row>
    <row r="146" spans="3:41" s="2" customFormat="1" x14ac:dyDescent="0.3">
      <c r="C146" s="3"/>
      <c r="F146" s="3"/>
      <c r="I146" s="3"/>
      <c r="L146" s="3"/>
      <c r="AI146" s="89"/>
      <c r="AJ146" s="89"/>
      <c r="AK146" s="89"/>
      <c r="AL146" s="89"/>
      <c r="AM146" s="89"/>
      <c r="AN146" s="89"/>
      <c r="AO146" s="89"/>
    </row>
    <row r="147" spans="3:41" s="2" customFormat="1" x14ac:dyDescent="0.3">
      <c r="C147" s="3"/>
      <c r="F147" s="3"/>
      <c r="I147" s="3"/>
      <c r="L147" s="3"/>
      <c r="AI147" s="89"/>
      <c r="AJ147" s="89"/>
      <c r="AK147" s="89"/>
      <c r="AL147" s="89"/>
      <c r="AM147" s="89"/>
      <c r="AN147" s="89"/>
      <c r="AO147" s="89"/>
    </row>
    <row r="148" spans="3:41" s="2" customFormat="1" x14ac:dyDescent="0.3">
      <c r="C148" s="3"/>
      <c r="F148" s="3"/>
      <c r="I148" s="3"/>
      <c r="L148" s="3"/>
      <c r="AI148" s="89"/>
      <c r="AJ148" s="89"/>
      <c r="AK148" s="89"/>
      <c r="AL148" s="89"/>
      <c r="AM148" s="89"/>
      <c r="AN148" s="89"/>
      <c r="AO148" s="89"/>
    </row>
    <row r="149" spans="3:41" s="2" customFormat="1" x14ac:dyDescent="0.3">
      <c r="C149" s="3"/>
      <c r="F149" s="3"/>
      <c r="I149" s="3"/>
      <c r="L149" s="3"/>
      <c r="AI149" s="89"/>
      <c r="AJ149" s="89"/>
      <c r="AK149" s="89"/>
      <c r="AL149" s="89"/>
      <c r="AM149" s="89"/>
      <c r="AN149" s="89"/>
      <c r="AO149" s="89"/>
    </row>
    <row r="150" spans="3:41" s="2" customFormat="1" x14ac:dyDescent="0.3">
      <c r="C150" s="3"/>
      <c r="F150" s="3"/>
      <c r="I150" s="3"/>
      <c r="L150" s="3"/>
      <c r="AI150" s="89"/>
      <c r="AJ150" s="89"/>
      <c r="AK150" s="89"/>
      <c r="AL150" s="89"/>
      <c r="AM150" s="89"/>
      <c r="AN150" s="89"/>
      <c r="AO150" s="89"/>
    </row>
    <row r="151" spans="3:41" s="2" customFormat="1" x14ac:dyDescent="0.3">
      <c r="C151" s="3"/>
      <c r="F151" s="3"/>
      <c r="I151" s="3"/>
      <c r="L151" s="3"/>
      <c r="AI151" s="89"/>
      <c r="AJ151" s="89"/>
      <c r="AK151" s="89"/>
      <c r="AL151" s="89"/>
      <c r="AM151" s="89"/>
      <c r="AN151" s="89"/>
      <c r="AO151" s="89"/>
    </row>
    <row r="152" spans="3:41" s="2" customFormat="1" x14ac:dyDescent="0.3">
      <c r="C152" s="3"/>
      <c r="F152" s="3"/>
      <c r="I152" s="3"/>
      <c r="L152" s="3"/>
      <c r="AI152" s="89"/>
      <c r="AJ152" s="89"/>
      <c r="AK152" s="89"/>
      <c r="AL152" s="89"/>
      <c r="AM152" s="89"/>
      <c r="AN152" s="89"/>
      <c r="AO152" s="89"/>
    </row>
    <row r="153" spans="3:41" s="2" customFormat="1" x14ac:dyDescent="0.3">
      <c r="C153" s="3"/>
      <c r="F153" s="3"/>
      <c r="I153" s="3"/>
      <c r="L153" s="3"/>
      <c r="AI153" s="89"/>
      <c r="AJ153" s="89"/>
      <c r="AK153" s="89"/>
      <c r="AL153" s="89"/>
      <c r="AM153" s="89"/>
      <c r="AN153" s="89"/>
      <c r="AO153" s="89"/>
    </row>
    <row r="154" spans="3:41" s="2" customFormat="1" x14ac:dyDescent="0.3">
      <c r="C154" s="3"/>
      <c r="F154" s="3"/>
      <c r="I154" s="3"/>
      <c r="L154" s="3"/>
      <c r="AI154" s="89"/>
      <c r="AJ154" s="89"/>
      <c r="AK154" s="89"/>
      <c r="AL154" s="89"/>
      <c r="AM154" s="89"/>
      <c r="AN154" s="89"/>
      <c r="AO154" s="89"/>
    </row>
    <row r="155" spans="3:41" s="2" customFormat="1" x14ac:dyDescent="0.3">
      <c r="C155" s="3"/>
      <c r="F155" s="3"/>
      <c r="I155" s="3"/>
      <c r="L155" s="3"/>
      <c r="AI155" s="89"/>
      <c r="AJ155" s="89"/>
      <c r="AK155" s="89"/>
      <c r="AL155" s="89"/>
      <c r="AM155" s="89"/>
      <c r="AN155" s="89"/>
      <c r="AO155" s="89"/>
    </row>
    <row r="156" spans="3:41" s="2" customFormat="1" x14ac:dyDescent="0.3">
      <c r="C156" s="3"/>
      <c r="F156" s="3"/>
      <c r="I156" s="3"/>
      <c r="L156" s="3"/>
      <c r="AI156" s="89"/>
      <c r="AJ156" s="89"/>
      <c r="AK156" s="89"/>
      <c r="AL156" s="89"/>
      <c r="AM156" s="89"/>
      <c r="AN156" s="89"/>
      <c r="AO156" s="89"/>
    </row>
    <row r="157" spans="3:41" s="2" customFormat="1" x14ac:dyDescent="0.3">
      <c r="C157" s="3"/>
      <c r="F157" s="3"/>
      <c r="I157" s="3"/>
      <c r="L157" s="3"/>
      <c r="AI157" s="89"/>
      <c r="AJ157" s="89"/>
      <c r="AK157" s="89"/>
      <c r="AL157" s="89"/>
      <c r="AM157" s="89"/>
      <c r="AN157" s="89"/>
      <c r="AO157" s="89"/>
    </row>
    <row r="158" spans="3:41" s="2" customFormat="1" x14ac:dyDescent="0.3">
      <c r="C158" s="3"/>
      <c r="F158" s="3"/>
      <c r="I158" s="3"/>
      <c r="L158" s="3"/>
      <c r="AI158" s="89"/>
      <c r="AJ158" s="89"/>
      <c r="AK158" s="89"/>
      <c r="AL158" s="89"/>
      <c r="AM158" s="89"/>
      <c r="AN158" s="89"/>
      <c r="AO158" s="89"/>
    </row>
    <row r="159" spans="3:41" s="2" customFormat="1" x14ac:dyDescent="0.3">
      <c r="C159" s="3"/>
      <c r="F159" s="3"/>
      <c r="I159" s="3"/>
      <c r="L159" s="3"/>
      <c r="AI159" s="89"/>
      <c r="AJ159" s="89"/>
      <c r="AK159" s="89"/>
      <c r="AL159" s="89"/>
      <c r="AM159" s="89"/>
      <c r="AN159" s="89"/>
      <c r="AO159" s="89"/>
    </row>
    <row r="160" spans="3:41" s="2" customFormat="1" x14ac:dyDescent="0.3">
      <c r="C160" s="3"/>
      <c r="F160" s="3"/>
      <c r="I160" s="3"/>
      <c r="L160" s="3"/>
      <c r="AI160" s="89"/>
      <c r="AJ160" s="89"/>
      <c r="AK160" s="89"/>
      <c r="AL160" s="89"/>
      <c r="AM160" s="89"/>
      <c r="AN160" s="89"/>
      <c r="AO160" s="89"/>
    </row>
    <row r="161" spans="3:41" s="2" customFormat="1" x14ac:dyDescent="0.3">
      <c r="C161" s="3"/>
      <c r="F161" s="3"/>
      <c r="I161" s="3"/>
      <c r="L161" s="3"/>
      <c r="AI161" s="89"/>
      <c r="AJ161" s="89"/>
      <c r="AK161" s="89"/>
      <c r="AL161" s="89"/>
      <c r="AM161" s="89"/>
      <c r="AN161" s="89"/>
      <c r="AO161" s="89"/>
    </row>
    <row r="162" spans="3:41" s="2" customFormat="1" x14ac:dyDescent="0.3">
      <c r="C162" s="3"/>
      <c r="F162" s="3"/>
      <c r="I162" s="3"/>
      <c r="L162" s="3"/>
      <c r="AI162" s="89"/>
      <c r="AJ162" s="89"/>
      <c r="AK162" s="89"/>
      <c r="AL162" s="89"/>
      <c r="AM162" s="89"/>
      <c r="AN162" s="89"/>
      <c r="AO162" s="89"/>
    </row>
    <row r="163" spans="3:41" s="2" customFormat="1" x14ac:dyDescent="0.3">
      <c r="C163" s="3"/>
      <c r="F163" s="3"/>
      <c r="I163" s="3"/>
      <c r="L163" s="3"/>
      <c r="AI163" s="89"/>
      <c r="AJ163" s="89"/>
      <c r="AK163" s="89"/>
      <c r="AL163" s="89"/>
      <c r="AM163" s="89"/>
      <c r="AN163" s="89"/>
      <c r="AO163" s="89"/>
    </row>
    <row r="164" spans="3:41" s="2" customFormat="1" x14ac:dyDescent="0.3">
      <c r="C164" s="3"/>
      <c r="F164" s="3"/>
      <c r="I164" s="3"/>
      <c r="L164" s="3"/>
      <c r="AI164" s="89"/>
      <c r="AJ164" s="89"/>
      <c r="AK164" s="89"/>
      <c r="AL164" s="89"/>
      <c r="AM164" s="89"/>
      <c r="AN164" s="89"/>
      <c r="AO164" s="89"/>
    </row>
    <row r="165" spans="3:41" s="2" customFormat="1" x14ac:dyDescent="0.3">
      <c r="C165" s="3"/>
      <c r="F165" s="3"/>
      <c r="I165" s="3"/>
      <c r="L165" s="3"/>
      <c r="AI165" s="89"/>
      <c r="AJ165" s="89"/>
      <c r="AK165" s="89"/>
      <c r="AL165" s="89"/>
      <c r="AM165" s="89"/>
      <c r="AN165" s="89"/>
      <c r="AO165" s="89"/>
    </row>
    <row r="166" spans="3:41" s="2" customFormat="1" x14ac:dyDescent="0.3">
      <c r="C166" s="3"/>
      <c r="F166" s="3"/>
      <c r="I166" s="3"/>
      <c r="L166" s="3"/>
      <c r="AI166" s="89"/>
      <c r="AJ166" s="89"/>
      <c r="AK166" s="89"/>
      <c r="AL166" s="89"/>
      <c r="AM166" s="89"/>
      <c r="AN166" s="89"/>
      <c r="AO166" s="89"/>
    </row>
    <row r="167" spans="3:41" s="2" customFormat="1" x14ac:dyDescent="0.3">
      <c r="C167" s="3"/>
      <c r="F167" s="3"/>
      <c r="I167" s="3"/>
      <c r="L167" s="3"/>
      <c r="AI167" s="89"/>
      <c r="AJ167" s="89"/>
      <c r="AK167" s="89"/>
      <c r="AL167" s="89"/>
      <c r="AM167" s="89"/>
      <c r="AN167" s="89"/>
      <c r="AO167" s="89"/>
    </row>
    <row r="168" spans="3:41" s="2" customFormat="1" x14ac:dyDescent="0.3">
      <c r="C168" s="3"/>
      <c r="F168" s="3"/>
      <c r="I168" s="3"/>
      <c r="L168" s="3"/>
      <c r="AI168" s="89"/>
      <c r="AJ168" s="89"/>
      <c r="AK168" s="89"/>
      <c r="AL168" s="89"/>
      <c r="AM168" s="89"/>
      <c r="AN168" s="89"/>
      <c r="AO168" s="89"/>
    </row>
    <row r="169" spans="3:41" s="2" customFormat="1" x14ac:dyDescent="0.3">
      <c r="C169" s="3"/>
      <c r="F169" s="3"/>
      <c r="I169" s="3"/>
      <c r="L169" s="3"/>
      <c r="AI169" s="89"/>
      <c r="AJ169" s="89"/>
      <c r="AK169" s="89"/>
      <c r="AL169" s="89"/>
      <c r="AM169" s="89"/>
      <c r="AN169" s="89"/>
      <c r="AO169" s="89"/>
    </row>
    <row r="170" spans="3:41" s="2" customFormat="1" x14ac:dyDescent="0.3">
      <c r="C170" s="3"/>
      <c r="F170" s="3"/>
      <c r="I170" s="3"/>
      <c r="L170" s="3"/>
      <c r="AI170" s="89"/>
      <c r="AJ170" s="89"/>
      <c r="AK170" s="89"/>
      <c r="AL170" s="89"/>
      <c r="AM170" s="89"/>
      <c r="AN170" s="89"/>
      <c r="AO170" s="89"/>
    </row>
    <row r="171" spans="3:41" s="2" customFormat="1" x14ac:dyDescent="0.3">
      <c r="C171" s="3"/>
      <c r="F171" s="3"/>
      <c r="I171" s="3"/>
      <c r="L171" s="3"/>
      <c r="AI171" s="89"/>
      <c r="AJ171" s="89"/>
      <c r="AK171" s="89"/>
      <c r="AL171" s="89"/>
      <c r="AM171" s="89"/>
      <c r="AN171" s="89"/>
      <c r="AO171" s="89"/>
    </row>
    <row r="172" spans="3:41" s="2" customFormat="1" x14ac:dyDescent="0.3">
      <c r="C172" s="3"/>
      <c r="F172" s="3"/>
      <c r="I172" s="3"/>
      <c r="L172" s="3"/>
      <c r="AI172" s="89"/>
      <c r="AJ172" s="89"/>
      <c r="AK172" s="89"/>
      <c r="AL172" s="89"/>
      <c r="AM172" s="89"/>
      <c r="AN172" s="89"/>
      <c r="AO172" s="89"/>
    </row>
    <row r="173" spans="3:41" s="2" customFormat="1" x14ac:dyDescent="0.3">
      <c r="C173" s="3"/>
      <c r="F173" s="3"/>
      <c r="I173" s="3"/>
      <c r="L173" s="3"/>
      <c r="AI173" s="89"/>
      <c r="AJ173" s="89"/>
      <c r="AK173" s="89"/>
      <c r="AL173" s="89"/>
      <c r="AM173" s="89"/>
      <c r="AN173" s="89"/>
      <c r="AO173" s="89"/>
    </row>
    <row r="174" spans="3:41" s="2" customFormat="1" x14ac:dyDescent="0.3">
      <c r="C174" s="3"/>
      <c r="F174" s="3"/>
      <c r="I174" s="3"/>
      <c r="L174" s="3"/>
      <c r="AI174" s="89"/>
      <c r="AJ174" s="89"/>
      <c r="AK174" s="89"/>
      <c r="AL174" s="89"/>
      <c r="AM174" s="89"/>
      <c r="AN174" s="89"/>
      <c r="AO174" s="89"/>
    </row>
    <row r="175" spans="3:41" s="2" customFormat="1" x14ac:dyDescent="0.3">
      <c r="C175" s="3"/>
      <c r="F175" s="3"/>
      <c r="I175" s="3"/>
      <c r="L175" s="3"/>
      <c r="AI175" s="89"/>
      <c r="AJ175" s="89"/>
      <c r="AK175" s="89"/>
      <c r="AL175" s="89"/>
      <c r="AM175" s="89"/>
      <c r="AN175" s="89"/>
      <c r="AO175" s="89"/>
    </row>
    <row r="176" spans="3:41" s="2" customFormat="1" x14ac:dyDescent="0.3">
      <c r="C176" s="3"/>
      <c r="F176" s="3"/>
      <c r="I176" s="3"/>
      <c r="L176" s="3"/>
      <c r="AI176" s="89"/>
      <c r="AJ176" s="89"/>
      <c r="AK176" s="89"/>
      <c r="AL176" s="89"/>
      <c r="AM176" s="89"/>
      <c r="AN176" s="89"/>
      <c r="AO176" s="89"/>
    </row>
    <row r="177" spans="3:41" s="2" customFormat="1" x14ac:dyDescent="0.3">
      <c r="C177" s="3"/>
      <c r="F177" s="3"/>
      <c r="I177" s="3"/>
      <c r="L177" s="3"/>
      <c r="AI177" s="89"/>
      <c r="AJ177" s="89"/>
      <c r="AK177" s="89"/>
      <c r="AL177" s="89"/>
      <c r="AM177" s="89"/>
      <c r="AN177" s="89"/>
      <c r="AO177" s="89"/>
    </row>
    <row r="178" spans="3:41" s="2" customFormat="1" x14ac:dyDescent="0.3">
      <c r="C178" s="3"/>
      <c r="F178" s="3"/>
      <c r="I178" s="3"/>
      <c r="L178" s="3"/>
      <c r="AI178" s="89"/>
      <c r="AJ178" s="89"/>
      <c r="AK178" s="89"/>
      <c r="AL178" s="89"/>
      <c r="AM178" s="89"/>
      <c r="AN178" s="89"/>
      <c r="AO178" s="89"/>
    </row>
    <row r="179" spans="3:41" s="2" customFormat="1" x14ac:dyDescent="0.3">
      <c r="C179" s="3"/>
      <c r="F179" s="3"/>
      <c r="I179" s="3"/>
      <c r="L179" s="3"/>
      <c r="AI179" s="89"/>
      <c r="AJ179" s="89"/>
      <c r="AK179" s="89"/>
      <c r="AL179" s="89"/>
      <c r="AM179" s="89"/>
      <c r="AN179" s="89"/>
      <c r="AO179" s="89"/>
    </row>
    <row r="180" spans="3:41" s="2" customFormat="1" x14ac:dyDescent="0.3">
      <c r="C180" s="3"/>
      <c r="F180" s="3"/>
      <c r="I180" s="3"/>
      <c r="L180" s="3"/>
      <c r="AI180" s="89"/>
      <c r="AJ180" s="89"/>
      <c r="AK180" s="89"/>
      <c r="AL180" s="89"/>
      <c r="AM180" s="89"/>
      <c r="AN180" s="89"/>
      <c r="AO180" s="89"/>
    </row>
    <row r="181" spans="3:41" s="2" customFormat="1" x14ac:dyDescent="0.3">
      <c r="C181" s="3"/>
      <c r="F181" s="3"/>
      <c r="I181" s="3"/>
      <c r="L181" s="3"/>
      <c r="AI181" s="89"/>
      <c r="AJ181" s="89"/>
      <c r="AK181" s="89"/>
      <c r="AL181" s="89"/>
      <c r="AM181" s="89"/>
      <c r="AN181" s="89"/>
      <c r="AO181" s="89"/>
    </row>
    <row r="182" spans="3:41" s="2" customFormat="1" x14ac:dyDescent="0.3">
      <c r="C182" s="3"/>
      <c r="F182" s="3"/>
      <c r="I182" s="3"/>
      <c r="L182" s="3"/>
      <c r="AI182" s="89"/>
      <c r="AJ182" s="89"/>
      <c r="AK182" s="89"/>
      <c r="AL182" s="89"/>
      <c r="AM182" s="89"/>
      <c r="AN182" s="89"/>
      <c r="AO182" s="89"/>
    </row>
    <row r="183" spans="3:41" s="2" customFormat="1" x14ac:dyDescent="0.3">
      <c r="C183" s="3"/>
      <c r="F183" s="3"/>
      <c r="I183" s="3"/>
      <c r="L183" s="3"/>
      <c r="AI183" s="89"/>
      <c r="AJ183" s="89"/>
      <c r="AK183" s="89"/>
      <c r="AL183" s="89"/>
      <c r="AM183" s="89"/>
      <c r="AN183" s="89"/>
      <c r="AO183" s="89"/>
    </row>
    <row r="184" spans="3:41" s="2" customFormat="1" x14ac:dyDescent="0.3">
      <c r="C184" s="3"/>
      <c r="F184" s="3"/>
      <c r="I184" s="3"/>
      <c r="L184" s="3"/>
      <c r="AI184" s="89"/>
      <c r="AJ184" s="89"/>
      <c r="AK184" s="89"/>
      <c r="AL184" s="89"/>
      <c r="AM184" s="89"/>
      <c r="AN184" s="89"/>
      <c r="AO184" s="89"/>
    </row>
    <row r="185" spans="3:41" s="2" customFormat="1" x14ac:dyDescent="0.3">
      <c r="C185" s="3"/>
      <c r="F185" s="3"/>
      <c r="I185" s="3"/>
      <c r="L185" s="3"/>
      <c r="AI185" s="89"/>
      <c r="AJ185" s="89"/>
      <c r="AK185" s="89"/>
      <c r="AL185" s="89"/>
      <c r="AM185" s="89"/>
      <c r="AN185" s="89"/>
      <c r="AO185" s="89"/>
    </row>
    <row r="186" spans="3:41" s="2" customFormat="1" x14ac:dyDescent="0.3">
      <c r="C186" s="3"/>
      <c r="F186" s="3"/>
      <c r="I186" s="3"/>
      <c r="L186" s="3"/>
      <c r="AI186" s="89"/>
      <c r="AJ186" s="89"/>
      <c r="AK186" s="89"/>
      <c r="AL186" s="89"/>
      <c r="AM186" s="89"/>
      <c r="AN186" s="89"/>
      <c r="AO186" s="89"/>
    </row>
    <row r="187" spans="3:41" s="2" customFormat="1" x14ac:dyDescent="0.3">
      <c r="C187" s="3"/>
      <c r="F187" s="3"/>
      <c r="I187" s="3"/>
      <c r="L187" s="3"/>
      <c r="AI187" s="89"/>
      <c r="AJ187" s="89"/>
      <c r="AK187" s="89"/>
      <c r="AL187" s="89"/>
      <c r="AM187" s="89"/>
      <c r="AN187" s="89"/>
      <c r="AO187" s="89"/>
    </row>
    <row r="188" spans="3:41" s="2" customFormat="1" x14ac:dyDescent="0.3">
      <c r="C188" s="3"/>
      <c r="F188" s="3"/>
      <c r="I188" s="3"/>
      <c r="L188" s="3"/>
      <c r="AI188" s="89"/>
      <c r="AJ188" s="89"/>
      <c r="AK188" s="89"/>
      <c r="AL188" s="89"/>
      <c r="AM188" s="89"/>
      <c r="AN188" s="89"/>
      <c r="AO188" s="89"/>
    </row>
    <row r="189" spans="3:41" s="2" customFormat="1" x14ac:dyDescent="0.3">
      <c r="C189" s="3"/>
      <c r="F189" s="3"/>
      <c r="I189" s="3"/>
      <c r="L189" s="3"/>
      <c r="AI189" s="89"/>
      <c r="AJ189" s="89"/>
      <c r="AK189" s="89"/>
      <c r="AL189" s="89"/>
      <c r="AM189" s="89"/>
      <c r="AN189" s="89"/>
      <c r="AO189" s="89"/>
    </row>
    <row r="190" spans="3:41" s="2" customFormat="1" x14ac:dyDescent="0.3">
      <c r="C190" s="3"/>
      <c r="F190" s="3"/>
      <c r="I190" s="3"/>
      <c r="L190" s="3"/>
      <c r="AI190" s="89"/>
      <c r="AJ190" s="89"/>
      <c r="AK190" s="89"/>
      <c r="AL190" s="89"/>
      <c r="AM190" s="89"/>
      <c r="AN190" s="89"/>
      <c r="AO190" s="89"/>
    </row>
    <row r="191" spans="3:41" s="2" customFormat="1" x14ac:dyDescent="0.3">
      <c r="C191" s="3"/>
      <c r="F191" s="3"/>
      <c r="I191" s="3"/>
      <c r="L191" s="3"/>
      <c r="AI191" s="89"/>
      <c r="AJ191" s="89"/>
      <c r="AK191" s="89"/>
      <c r="AL191" s="89"/>
      <c r="AM191" s="89"/>
      <c r="AN191" s="89"/>
      <c r="AO191" s="89"/>
    </row>
    <row r="192" spans="3:41" s="2" customFormat="1" x14ac:dyDescent="0.3">
      <c r="C192" s="3"/>
      <c r="F192" s="3"/>
      <c r="I192" s="3"/>
      <c r="L192" s="3"/>
      <c r="AI192" s="89"/>
      <c r="AJ192" s="89"/>
      <c r="AK192" s="89"/>
      <c r="AL192" s="89"/>
      <c r="AM192" s="89"/>
      <c r="AN192" s="89"/>
      <c r="AO192" s="89"/>
    </row>
    <row r="193" spans="3:44" s="2" customFormat="1" x14ac:dyDescent="0.3">
      <c r="C193" s="3"/>
      <c r="F193" s="3"/>
      <c r="I193" s="3"/>
      <c r="L193" s="3"/>
      <c r="AI193" s="89"/>
      <c r="AJ193" s="89"/>
      <c r="AK193" s="89"/>
      <c r="AL193" s="89"/>
      <c r="AM193" s="89"/>
      <c r="AN193" s="89"/>
      <c r="AO193" s="89"/>
    </row>
    <row r="194" spans="3:44" s="2" customFormat="1" x14ac:dyDescent="0.3">
      <c r="C194" s="3"/>
      <c r="F194" s="3"/>
      <c r="I194" s="3"/>
      <c r="L194" s="3"/>
      <c r="AI194" s="89"/>
      <c r="AJ194" s="89"/>
      <c r="AK194" s="89"/>
      <c r="AL194" s="89"/>
      <c r="AM194" s="89"/>
      <c r="AN194" s="89"/>
      <c r="AO194" s="89"/>
    </row>
    <row r="195" spans="3:44" s="2" customFormat="1" x14ac:dyDescent="0.3">
      <c r="C195" s="3"/>
      <c r="F195" s="3"/>
      <c r="I195" s="3"/>
      <c r="L195" s="3"/>
      <c r="AI195" s="89"/>
      <c r="AJ195" s="89"/>
      <c r="AK195" s="89"/>
      <c r="AL195" s="89"/>
      <c r="AM195" s="89"/>
      <c r="AN195" s="89"/>
      <c r="AO195" s="89"/>
    </row>
    <row r="196" spans="3:44" s="2" customFormat="1" x14ac:dyDescent="0.3">
      <c r="C196" s="3"/>
      <c r="F196" s="3"/>
      <c r="I196" s="3"/>
      <c r="L196" s="3"/>
      <c r="AI196" s="89"/>
      <c r="AJ196" s="89"/>
      <c r="AK196" s="89"/>
      <c r="AL196" s="89"/>
      <c r="AM196" s="89"/>
      <c r="AN196" s="89"/>
      <c r="AO196" s="89"/>
    </row>
    <row r="197" spans="3:44" s="2" customFormat="1" x14ac:dyDescent="0.3">
      <c r="C197" s="3"/>
      <c r="F197" s="3"/>
      <c r="I197" s="3"/>
      <c r="L197" s="3"/>
      <c r="AI197" s="89"/>
      <c r="AJ197" s="89"/>
      <c r="AK197" s="89"/>
      <c r="AL197" s="89"/>
      <c r="AM197" s="89"/>
      <c r="AN197" s="89"/>
      <c r="AO197" s="89"/>
    </row>
    <row r="198" spans="3:44" s="2" customFormat="1" x14ac:dyDescent="0.3">
      <c r="C198" s="3"/>
      <c r="F198" s="3"/>
      <c r="I198" s="3"/>
      <c r="L198" s="3"/>
      <c r="AI198" s="89"/>
      <c r="AJ198" s="89"/>
      <c r="AK198" s="89"/>
      <c r="AL198" s="89"/>
      <c r="AM198" s="89"/>
      <c r="AN198" s="89"/>
      <c r="AO198" s="89"/>
    </row>
    <row r="199" spans="3:44" s="2" customFormat="1" x14ac:dyDescent="0.3">
      <c r="C199" s="3"/>
      <c r="F199" s="3"/>
      <c r="I199" s="3"/>
      <c r="L199" s="3"/>
      <c r="AI199" s="89"/>
      <c r="AJ199" s="89"/>
      <c r="AK199" s="89"/>
      <c r="AL199" s="89"/>
      <c r="AM199" s="89"/>
      <c r="AN199" s="89"/>
      <c r="AO199" s="89"/>
    </row>
    <row r="200" spans="3:44" s="2" customFormat="1" x14ac:dyDescent="0.3">
      <c r="C200" s="3"/>
      <c r="F200" s="3"/>
      <c r="I200" s="3"/>
      <c r="L200" s="3"/>
      <c r="AI200" s="89"/>
      <c r="AJ200" s="89"/>
      <c r="AK200" s="89"/>
      <c r="AL200" s="89"/>
      <c r="AM200" s="89"/>
      <c r="AN200" s="89"/>
      <c r="AO200" s="89"/>
    </row>
    <row r="201" spans="3:44" s="2" customFormat="1" x14ac:dyDescent="0.3">
      <c r="C201" s="3"/>
      <c r="F201" s="3"/>
      <c r="I201" s="3"/>
      <c r="L201" s="3"/>
      <c r="AI201" s="89"/>
      <c r="AJ201" s="89"/>
      <c r="AK201" s="89"/>
      <c r="AL201" s="89"/>
      <c r="AM201" s="89"/>
      <c r="AN201" s="89"/>
      <c r="AO201" s="89"/>
    </row>
    <row r="202" spans="3:44" s="2" customFormat="1" x14ac:dyDescent="0.3">
      <c r="C202" s="3"/>
      <c r="F202" s="3"/>
      <c r="I202" s="3"/>
      <c r="L202" s="3"/>
      <c r="AI202" s="89"/>
      <c r="AJ202" s="89"/>
      <c r="AK202" s="89"/>
      <c r="AL202" s="89"/>
      <c r="AM202" s="89"/>
      <c r="AN202" s="89"/>
      <c r="AO202" s="89"/>
    </row>
    <row r="203" spans="3:44" s="2" customFormat="1" x14ac:dyDescent="0.3">
      <c r="C203" s="3"/>
      <c r="F203" s="3"/>
      <c r="I203" s="3"/>
      <c r="L203" s="3"/>
      <c r="AI203" s="89"/>
      <c r="AJ203" s="89"/>
      <c r="AK203" s="89"/>
      <c r="AL203" s="89"/>
      <c r="AM203" s="89"/>
      <c r="AN203" s="89"/>
      <c r="AO203" s="89"/>
    </row>
    <row r="204" spans="3:44" s="2" customFormat="1" x14ac:dyDescent="0.3">
      <c r="C204" s="3"/>
      <c r="F204" s="3"/>
      <c r="I204" s="3"/>
      <c r="L204" s="3"/>
      <c r="AI204" s="89"/>
      <c r="AJ204" s="89"/>
      <c r="AK204" s="89"/>
      <c r="AL204" s="89"/>
      <c r="AM204" s="89"/>
      <c r="AN204" s="89"/>
      <c r="AO204" s="89"/>
    </row>
    <row r="205" spans="3:44" s="2" customFormat="1" x14ac:dyDescent="0.3">
      <c r="C205" s="3"/>
      <c r="F205" s="3"/>
      <c r="I205" s="3"/>
      <c r="L205" s="3"/>
      <c r="AP205" s="15" t="s">
        <v>52</v>
      </c>
      <c r="AQ205" s="15"/>
      <c r="AR205" s="15"/>
    </row>
    <row r="206" spans="3:44" s="2" customFormat="1" x14ac:dyDescent="0.3">
      <c r="C206" s="3"/>
      <c r="F206" s="3"/>
      <c r="I206" s="3"/>
      <c r="L206" s="3"/>
    </row>
    <row r="207" spans="3:44" s="2" customFormat="1" x14ac:dyDescent="0.3">
      <c r="C207" s="3"/>
      <c r="F207" s="3"/>
      <c r="I207" s="3"/>
      <c r="L207" s="3"/>
    </row>
    <row r="208" spans="3:44" s="2" customFormat="1" x14ac:dyDescent="0.3">
      <c r="C208" s="3"/>
      <c r="F208" s="3"/>
      <c r="I208" s="3"/>
      <c r="L208" s="3"/>
    </row>
    <row r="209" spans="3:12" s="2" customFormat="1" x14ac:dyDescent="0.3">
      <c r="C209" s="3"/>
      <c r="F209" s="3"/>
      <c r="I209" s="3"/>
      <c r="L209" s="3"/>
    </row>
    <row r="210" spans="3:12" s="2" customFormat="1" x14ac:dyDescent="0.3">
      <c r="C210" s="3"/>
      <c r="F210" s="3"/>
      <c r="I210" s="3"/>
      <c r="L210" s="3"/>
    </row>
    <row r="211" spans="3:12" s="2" customFormat="1" x14ac:dyDescent="0.3">
      <c r="C211" s="3"/>
      <c r="F211" s="3"/>
      <c r="I211" s="3"/>
      <c r="L211" s="3"/>
    </row>
    <row r="212" spans="3:12" s="2" customFormat="1" x14ac:dyDescent="0.3">
      <c r="C212" s="3"/>
      <c r="F212" s="3"/>
      <c r="I212" s="3"/>
      <c r="L212" s="3"/>
    </row>
    <row r="213" spans="3:12" s="2" customFormat="1" x14ac:dyDescent="0.3">
      <c r="C213" s="3"/>
      <c r="F213" s="3"/>
      <c r="I213" s="3"/>
      <c r="L213" s="3"/>
    </row>
    <row r="214" spans="3:12" s="2" customFormat="1" x14ac:dyDescent="0.3">
      <c r="C214" s="3"/>
      <c r="F214" s="3"/>
      <c r="I214" s="3"/>
      <c r="L214" s="3"/>
    </row>
    <row r="215" spans="3:12" s="2" customFormat="1" x14ac:dyDescent="0.3">
      <c r="C215" s="3"/>
      <c r="F215" s="3"/>
      <c r="I215" s="3"/>
      <c r="L215" s="3"/>
    </row>
    <row r="216" spans="3:12" s="2" customFormat="1" x14ac:dyDescent="0.3">
      <c r="C216" s="3"/>
      <c r="F216" s="3"/>
      <c r="I216" s="3"/>
      <c r="L216" s="3"/>
    </row>
    <row r="217" spans="3:12" s="2" customFormat="1" x14ac:dyDescent="0.3">
      <c r="C217" s="3"/>
      <c r="F217" s="3"/>
      <c r="I217" s="3"/>
      <c r="L217" s="3"/>
    </row>
    <row r="218" spans="3:12" s="2" customFormat="1" x14ac:dyDescent="0.3">
      <c r="C218" s="3"/>
      <c r="F218" s="3"/>
      <c r="I218" s="3"/>
      <c r="L218" s="3"/>
    </row>
    <row r="219" spans="3:12" s="2" customFormat="1" x14ac:dyDescent="0.3">
      <c r="C219" s="3"/>
      <c r="F219" s="3"/>
      <c r="I219" s="3"/>
      <c r="L219" s="3"/>
    </row>
    <row r="220" spans="3:12" s="2" customFormat="1" x14ac:dyDescent="0.3">
      <c r="C220" s="3"/>
      <c r="F220" s="3"/>
      <c r="I220" s="3"/>
      <c r="L220" s="3"/>
    </row>
    <row r="221" spans="3:12" s="2" customFormat="1" x14ac:dyDescent="0.3">
      <c r="C221" s="3"/>
      <c r="F221" s="3"/>
      <c r="I221" s="3"/>
      <c r="L221" s="3"/>
    </row>
    <row r="222" spans="3:12" s="2" customFormat="1" x14ac:dyDescent="0.3">
      <c r="C222" s="3"/>
      <c r="F222" s="3"/>
      <c r="I222" s="3"/>
      <c r="L222" s="3"/>
    </row>
    <row r="223" spans="3:12" s="2" customFormat="1" x14ac:dyDescent="0.3">
      <c r="C223" s="3"/>
      <c r="F223" s="3"/>
      <c r="I223" s="3"/>
      <c r="L223" s="3"/>
    </row>
    <row r="224" spans="3:12" s="2" customFormat="1" x14ac:dyDescent="0.3">
      <c r="C224" s="3"/>
      <c r="F224" s="3"/>
      <c r="I224" s="3"/>
      <c r="L224" s="3"/>
    </row>
    <row r="225" spans="3:12" s="2" customFormat="1" x14ac:dyDescent="0.3">
      <c r="C225" s="3"/>
      <c r="F225" s="3"/>
      <c r="I225" s="3"/>
      <c r="L225" s="3"/>
    </row>
    <row r="226" spans="3:12" s="2" customFormat="1" x14ac:dyDescent="0.3">
      <c r="C226" s="3"/>
      <c r="F226" s="3"/>
      <c r="I226" s="3"/>
      <c r="L226" s="3"/>
    </row>
    <row r="227" spans="3:12" s="2" customFormat="1" x14ac:dyDescent="0.3">
      <c r="C227" s="3"/>
      <c r="F227" s="3"/>
      <c r="I227" s="3"/>
      <c r="L227" s="3"/>
    </row>
    <row r="228" spans="3:12" s="2" customFormat="1" x14ac:dyDescent="0.3">
      <c r="C228" s="3"/>
      <c r="F228" s="3"/>
      <c r="I228" s="3"/>
      <c r="L228" s="3"/>
    </row>
    <row r="229" spans="3:12" s="2" customFormat="1" x14ac:dyDescent="0.3">
      <c r="C229" s="3"/>
      <c r="F229" s="3"/>
      <c r="I229" s="3"/>
      <c r="L229" s="3"/>
    </row>
    <row r="230" spans="3:12" s="2" customFormat="1" x14ac:dyDescent="0.3">
      <c r="C230" s="3"/>
      <c r="F230" s="3"/>
      <c r="I230" s="3"/>
      <c r="L230" s="3"/>
    </row>
    <row r="231" spans="3:12" s="2" customFormat="1" x14ac:dyDescent="0.3">
      <c r="C231" s="3"/>
      <c r="F231" s="3"/>
      <c r="I231" s="3"/>
      <c r="L231" s="3"/>
    </row>
    <row r="232" spans="3:12" s="2" customFormat="1" x14ac:dyDescent="0.3">
      <c r="C232" s="3"/>
      <c r="F232" s="3"/>
      <c r="I232" s="3"/>
      <c r="L232" s="3"/>
    </row>
    <row r="233" spans="3:12" s="2" customFormat="1" x14ac:dyDescent="0.3">
      <c r="C233" s="3"/>
      <c r="F233" s="3"/>
      <c r="I233" s="3"/>
      <c r="L233" s="3"/>
    </row>
    <row r="234" spans="3:12" s="2" customFormat="1" x14ac:dyDescent="0.3">
      <c r="C234" s="3"/>
      <c r="F234" s="3"/>
      <c r="I234" s="3"/>
      <c r="L234" s="3"/>
    </row>
    <row r="235" spans="3:12" s="2" customFormat="1" x14ac:dyDescent="0.3">
      <c r="C235" s="3"/>
      <c r="F235" s="3"/>
      <c r="I235" s="3"/>
      <c r="L235" s="3"/>
    </row>
    <row r="236" spans="3:12" s="2" customFormat="1" x14ac:dyDescent="0.3">
      <c r="C236" s="3"/>
      <c r="F236" s="3"/>
      <c r="I236" s="3"/>
      <c r="L236" s="3"/>
    </row>
    <row r="237" spans="3:12" s="2" customFormat="1" x14ac:dyDescent="0.3">
      <c r="C237" s="3"/>
      <c r="F237" s="3"/>
      <c r="I237" s="3"/>
      <c r="L237" s="3"/>
    </row>
    <row r="238" spans="3:12" s="2" customFormat="1" x14ac:dyDescent="0.3">
      <c r="C238" s="3"/>
      <c r="F238" s="3"/>
      <c r="I238" s="3"/>
      <c r="L238" s="3"/>
    </row>
    <row r="239" spans="3:12" s="2" customFormat="1" x14ac:dyDescent="0.3">
      <c r="C239" s="3"/>
      <c r="F239" s="3"/>
      <c r="I239" s="3"/>
      <c r="L239" s="3"/>
    </row>
    <row r="240" spans="3:12" s="2" customFormat="1" x14ac:dyDescent="0.3">
      <c r="C240" s="3"/>
      <c r="F240" s="3"/>
      <c r="I240" s="3"/>
      <c r="L240" s="3"/>
    </row>
    <row r="241" spans="3:12" s="2" customFormat="1" x14ac:dyDescent="0.3">
      <c r="C241" s="3"/>
      <c r="F241" s="3"/>
      <c r="I241" s="3"/>
      <c r="L241" s="3"/>
    </row>
    <row r="242" spans="3:12" s="2" customFormat="1" x14ac:dyDescent="0.3">
      <c r="C242" s="3"/>
      <c r="F242" s="3"/>
      <c r="I242" s="3"/>
      <c r="L242" s="3"/>
    </row>
    <row r="243" spans="3:12" s="2" customFormat="1" x14ac:dyDescent="0.3">
      <c r="C243" s="3"/>
      <c r="F243" s="3"/>
      <c r="I243" s="3"/>
      <c r="L243" s="3"/>
    </row>
    <row r="244" spans="3:12" s="2" customFormat="1" x14ac:dyDescent="0.3">
      <c r="C244" s="3"/>
      <c r="F244" s="3"/>
      <c r="I244" s="3"/>
      <c r="L244" s="3"/>
    </row>
    <row r="245" spans="3:12" s="2" customFormat="1" x14ac:dyDescent="0.3">
      <c r="C245" s="3"/>
      <c r="F245" s="3"/>
      <c r="I245" s="3"/>
      <c r="L245" s="3"/>
    </row>
    <row r="246" spans="3:12" s="2" customFormat="1" x14ac:dyDescent="0.3">
      <c r="C246" s="3"/>
      <c r="F246" s="3"/>
      <c r="I246" s="3"/>
      <c r="L246" s="3"/>
    </row>
    <row r="247" spans="3:12" s="2" customFormat="1" x14ac:dyDescent="0.3">
      <c r="C247" s="3"/>
      <c r="F247" s="3"/>
      <c r="I247" s="3"/>
      <c r="L247" s="3"/>
    </row>
    <row r="248" spans="3:12" s="2" customFormat="1" x14ac:dyDescent="0.3">
      <c r="C248" s="3"/>
      <c r="F248" s="3"/>
      <c r="I248" s="3"/>
      <c r="L248" s="3"/>
    </row>
    <row r="249" spans="3:12" s="2" customFormat="1" x14ac:dyDescent="0.3">
      <c r="C249" s="3"/>
      <c r="F249" s="3"/>
      <c r="I249" s="3"/>
      <c r="L249" s="3"/>
    </row>
    <row r="250" spans="3:12" s="2" customFormat="1" x14ac:dyDescent="0.3">
      <c r="C250" s="3"/>
      <c r="F250" s="3"/>
      <c r="I250" s="3"/>
      <c r="L250" s="3"/>
    </row>
    <row r="251" spans="3:12" s="2" customFormat="1" x14ac:dyDescent="0.3">
      <c r="C251" s="3"/>
      <c r="F251" s="3"/>
      <c r="I251" s="3"/>
      <c r="L251" s="3"/>
    </row>
    <row r="252" spans="3:12" s="2" customFormat="1" x14ac:dyDescent="0.3">
      <c r="C252" s="3"/>
      <c r="F252" s="3"/>
      <c r="I252" s="3"/>
      <c r="L252" s="3"/>
    </row>
    <row r="253" spans="3:12" s="2" customFormat="1" x14ac:dyDescent="0.3">
      <c r="C253" s="3"/>
      <c r="F253" s="3"/>
      <c r="I253" s="3"/>
      <c r="L253" s="3"/>
    </row>
    <row r="254" spans="3:12" s="2" customFormat="1" x14ac:dyDescent="0.3">
      <c r="C254" s="3"/>
      <c r="F254" s="3"/>
      <c r="I254" s="3"/>
      <c r="L254" s="3"/>
    </row>
    <row r="255" spans="3:12" s="2" customFormat="1" x14ac:dyDescent="0.3">
      <c r="C255" s="3"/>
      <c r="F255" s="3"/>
      <c r="I255" s="3"/>
      <c r="L255" s="3"/>
    </row>
    <row r="256" spans="3:12" s="2" customFormat="1" x14ac:dyDescent="0.3">
      <c r="C256" s="3"/>
      <c r="F256" s="3"/>
      <c r="I256" s="3"/>
      <c r="L256" s="3"/>
    </row>
    <row r="257" spans="3:12" s="2" customFormat="1" x14ac:dyDescent="0.3">
      <c r="C257" s="3"/>
      <c r="F257" s="3"/>
      <c r="I257" s="3"/>
      <c r="L257" s="3"/>
    </row>
    <row r="258" spans="3:12" s="2" customFormat="1" x14ac:dyDescent="0.3">
      <c r="C258" s="3"/>
      <c r="F258" s="3"/>
      <c r="I258" s="3"/>
      <c r="L258" s="3"/>
    </row>
    <row r="259" spans="3:12" s="2" customFormat="1" x14ac:dyDescent="0.3">
      <c r="C259" s="3"/>
      <c r="F259" s="3"/>
      <c r="I259" s="3"/>
      <c r="L259" s="3"/>
    </row>
    <row r="260" spans="3:12" s="2" customFormat="1" x14ac:dyDescent="0.3">
      <c r="C260" s="3"/>
      <c r="F260" s="3"/>
      <c r="I260" s="3"/>
      <c r="L260" s="3"/>
    </row>
    <row r="261" spans="3:12" s="2" customFormat="1" x14ac:dyDescent="0.3">
      <c r="C261" s="3"/>
      <c r="F261" s="3"/>
      <c r="I261" s="3"/>
      <c r="L261" s="3"/>
    </row>
    <row r="262" spans="3:12" s="2" customFormat="1" x14ac:dyDescent="0.3">
      <c r="C262" s="3"/>
      <c r="F262" s="3"/>
      <c r="I262" s="3"/>
      <c r="L262" s="3"/>
    </row>
    <row r="263" spans="3:12" s="2" customFormat="1" x14ac:dyDescent="0.3">
      <c r="C263" s="3"/>
      <c r="F263" s="3"/>
      <c r="I263" s="3"/>
      <c r="L263" s="3"/>
    </row>
    <row r="264" spans="3:12" s="2" customFormat="1" x14ac:dyDescent="0.3">
      <c r="C264" s="3"/>
      <c r="F264" s="3"/>
      <c r="I264" s="3"/>
      <c r="L264" s="3"/>
    </row>
    <row r="265" spans="3:12" s="2" customFormat="1" x14ac:dyDescent="0.3">
      <c r="C265" s="3"/>
      <c r="F265" s="3"/>
      <c r="I265" s="3"/>
      <c r="L265" s="3"/>
    </row>
    <row r="266" spans="3:12" s="2" customFormat="1" x14ac:dyDescent="0.3">
      <c r="C266" s="3"/>
      <c r="F266" s="3"/>
      <c r="I266" s="3"/>
      <c r="L266" s="3"/>
    </row>
    <row r="267" spans="3:12" s="2" customFormat="1" x14ac:dyDescent="0.3">
      <c r="C267" s="3"/>
      <c r="F267" s="3"/>
      <c r="I267" s="3"/>
      <c r="L267" s="3"/>
    </row>
    <row r="268" spans="3:12" s="2" customFormat="1" x14ac:dyDescent="0.3">
      <c r="C268" s="3"/>
      <c r="F268" s="3"/>
      <c r="I268" s="3"/>
      <c r="L268" s="3"/>
    </row>
    <row r="269" spans="3:12" s="2" customFormat="1" x14ac:dyDescent="0.3">
      <c r="C269" s="3"/>
      <c r="F269" s="3"/>
      <c r="I269" s="3"/>
      <c r="L269" s="3"/>
    </row>
    <row r="270" spans="3:12" s="2" customFormat="1" x14ac:dyDescent="0.3">
      <c r="C270" s="3"/>
      <c r="F270" s="3"/>
      <c r="I270" s="3"/>
      <c r="L270" s="3"/>
    </row>
    <row r="271" spans="3:12" s="2" customFormat="1" x14ac:dyDescent="0.3">
      <c r="C271" s="3"/>
      <c r="F271" s="3"/>
      <c r="I271" s="3"/>
      <c r="L271" s="3"/>
    </row>
    <row r="272" spans="3:12" s="2" customFormat="1" x14ac:dyDescent="0.3">
      <c r="C272" s="3"/>
      <c r="F272" s="3"/>
      <c r="I272" s="3"/>
      <c r="L272" s="3"/>
    </row>
    <row r="273" spans="3:12" s="2" customFormat="1" x14ac:dyDescent="0.3">
      <c r="C273" s="3"/>
      <c r="F273" s="3"/>
      <c r="I273" s="3"/>
      <c r="L273" s="3"/>
    </row>
    <row r="274" spans="3:12" s="2" customFormat="1" x14ac:dyDescent="0.3">
      <c r="C274" s="3"/>
      <c r="F274" s="3"/>
      <c r="I274" s="3"/>
      <c r="L274" s="3"/>
    </row>
    <row r="275" spans="3:12" s="2" customFormat="1" x14ac:dyDescent="0.3">
      <c r="C275" s="3"/>
      <c r="F275" s="3"/>
      <c r="I275" s="3"/>
      <c r="L275" s="3"/>
    </row>
    <row r="276" spans="3:12" s="2" customFormat="1" x14ac:dyDescent="0.3">
      <c r="C276" s="3"/>
      <c r="F276" s="3"/>
      <c r="I276" s="3"/>
      <c r="L276" s="3"/>
    </row>
    <row r="277" spans="3:12" s="2" customFormat="1" x14ac:dyDescent="0.3">
      <c r="C277" s="3"/>
      <c r="F277" s="3"/>
      <c r="I277" s="3"/>
      <c r="L277" s="3"/>
    </row>
    <row r="278" spans="3:12" s="2" customFormat="1" x14ac:dyDescent="0.3">
      <c r="C278" s="3"/>
      <c r="F278" s="3"/>
      <c r="I278" s="3"/>
      <c r="L278" s="3"/>
    </row>
    <row r="279" spans="3:12" s="2" customFormat="1" x14ac:dyDescent="0.3">
      <c r="C279" s="3"/>
      <c r="F279" s="3"/>
      <c r="I279" s="3"/>
      <c r="L279" s="3"/>
    </row>
    <row r="280" spans="3:12" s="2" customFormat="1" x14ac:dyDescent="0.3">
      <c r="C280" s="3"/>
      <c r="F280" s="3"/>
      <c r="I280" s="3"/>
      <c r="L280" s="3"/>
    </row>
    <row r="281" spans="3:12" s="2" customFormat="1" x14ac:dyDescent="0.3">
      <c r="C281" s="3"/>
      <c r="F281" s="3"/>
      <c r="I281" s="3"/>
      <c r="L281" s="3"/>
    </row>
    <row r="282" spans="3:12" s="2" customFormat="1" x14ac:dyDescent="0.3">
      <c r="C282" s="3"/>
      <c r="F282" s="3"/>
      <c r="I282" s="3"/>
      <c r="L282" s="3"/>
    </row>
    <row r="283" spans="3:12" s="2" customFormat="1" x14ac:dyDescent="0.3">
      <c r="C283" s="3"/>
      <c r="F283" s="3"/>
      <c r="I283" s="3"/>
      <c r="L283" s="3"/>
    </row>
    <row r="284" spans="3:12" s="2" customFormat="1" x14ac:dyDescent="0.3">
      <c r="C284" s="3"/>
      <c r="F284" s="3"/>
      <c r="I284" s="3"/>
      <c r="L284" s="3"/>
    </row>
    <row r="285" spans="3:12" s="2" customFormat="1" x14ac:dyDescent="0.3">
      <c r="C285" s="3"/>
      <c r="F285" s="3"/>
      <c r="I285" s="3"/>
      <c r="L285" s="3"/>
    </row>
    <row r="286" spans="3:12" s="2" customFormat="1" x14ac:dyDescent="0.3">
      <c r="C286" s="3"/>
      <c r="F286" s="3"/>
      <c r="I286" s="3"/>
      <c r="L286" s="3"/>
    </row>
    <row r="287" spans="3:12" s="2" customFormat="1" x14ac:dyDescent="0.3">
      <c r="C287" s="3"/>
      <c r="F287" s="3"/>
      <c r="I287" s="3"/>
      <c r="L287" s="3"/>
    </row>
    <row r="288" spans="3:12" s="2" customFormat="1" x14ac:dyDescent="0.3">
      <c r="C288" s="3"/>
      <c r="F288" s="3"/>
      <c r="I288" s="3"/>
      <c r="L288" s="3"/>
    </row>
    <row r="289" spans="3:26" s="2" customFormat="1" x14ac:dyDescent="0.3">
      <c r="C289" s="3"/>
      <c r="F289" s="3"/>
      <c r="I289" s="3"/>
      <c r="L289" s="3"/>
    </row>
    <row r="290" spans="3:26" s="2" customFormat="1" x14ac:dyDescent="0.3">
      <c r="C290" s="3"/>
      <c r="F290" s="3"/>
      <c r="I290" s="3"/>
      <c r="L290" s="3"/>
      <c r="M290" s="1"/>
      <c r="R290" s="1"/>
    </row>
    <row r="291" spans="3:26" s="2" customFormat="1" x14ac:dyDescent="0.3">
      <c r="C291" s="3"/>
      <c r="F291" s="3"/>
      <c r="I291" s="3"/>
      <c r="L291" s="3"/>
      <c r="M291" s="1"/>
      <c r="R291" s="1"/>
    </row>
    <row r="292" spans="3:26" s="2" customFormat="1" x14ac:dyDescent="0.3">
      <c r="C292" s="3"/>
      <c r="F292" s="3"/>
      <c r="I292" s="3"/>
      <c r="L292" s="3"/>
      <c r="M292" s="1"/>
      <c r="R292" s="1"/>
    </row>
    <row r="293" spans="3:26" s="2" customFormat="1" x14ac:dyDescent="0.3">
      <c r="C293" s="3"/>
      <c r="F293" s="3"/>
      <c r="I293" s="3"/>
      <c r="L293" s="3"/>
      <c r="M293" s="1"/>
      <c r="R293" s="1"/>
    </row>
    <row r="294" spans="3:26" s="2" customFormat="1" x14ac:dyDescent="0.3">
      <c r="C294" s="3"/>
      <c r="F294" s="3"/>
      <c r="I294" s="3"/>
      <c r="L294" s="3"/>
      <c r="M294" s="1"/>
      <c r="R294" s="1"/>
    </row>
    <row r="295" spans="3:26" s="2" customFormat="1" x14ac:dyDescent="0.3">
      <c r="C295" s="3"/>
      <c r="F295" s="3"/>
      <c r="I295" s="3"/>
      <c r="L295" s="3"/>
      <c r="M295" s="1"/>
      <c r="N295" s="1"/>
      <c r="O295" s="1"/>
      <c r="P295" s="1"/>
      <c r="R295" s="1"/>
      <c r="S295" s="1"/>
      <c r="T295" s="1"/>
      <c r="U295" s="1"/>
      <c r="V295" s="1"/>
      <c r="W295" s="72"/>
      <c r="X295" s="72"/>
      <c r="Y295" s="72"/>
      <c r="Z295" s="72"/>
    </row>
    <row r="296" spans="3:26" s="2" customFormat="1" x14ac:dyDescent="0.3">
      <c r="C296" s="3"/>
      <c r="F296" s="3"/>
      <c r="I296" s="3"/>
      <c r="L296" s="3"/>
      <c r="M296" s="1"/>
      <c r="N296" s="1"/>
      <c r="O296" s="1"/>
      <c r="P296" s="1"/>
      <c r="R296" s="1"/>
      <c r="S296" s="1"/>
      <c r="T296" s="1"/>
      <c r="U296" s="1"/>
      <c r="V296" s="1"/>
      <c r="W296" s="72"/>
      <c r="X296" s="72"/>
      <c r="Y296" s="72"/>
      <c r="Z296" s="72"/>
    </row>
    <row r="297" spans="3:26" s="2" customFormat="1" x14ac:dyDescent="0.3">
      <c r="C297" s="3"/>
      <c r="F297" s="3"/>
      <c r="I297" s="3"/>
      <c r="L297" s="3"/>
      <c r="M297" s="1"/>
      <c r="N297" s="1"/>
      <c r="O297" s="1"/>
      <c r="P297" s="1"/>
      <c r="R297" s="1"/>
      <c r="S297" s="1"/>
      <c r="T297" s="1"/>
      <c r="U297" s="1"/>
      <c r="V297" s="1"/>
      <c r="W297" s="72"/>
      <c r="X297" s="72"/>
      <c r="Y297" s="72"/>
      <c r="Z297" s="72"/>
    </row>
    <row r="298" spans="3:26" s="2" customFormat="1" x14ac:dyDescent="0.3">
      <c r="C298" s="3"/>
      <c r="F298" s="3"/>
      <c r="I298" s="3"/>
      <c r="L298" s="3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72"/>
      <c r="X298" s="72"/>
      <c r="Y298" s="72"/>
      <c r="Z298" s="72"/>
    </row>
    <row r="299" spans="3:26" s="2" customFormat="1" x14ac:dyDescent="0.3">
      <c r="C299" s="3"/>
      <c r="F299" s="3"/>
      <c r="I299" s="3"/>
      <c r="L299" s="3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72"/>
      <c r="X299" s="72"/>
      <c r="Y299" s="72"/>
      <c r="Z299" s="72"/>
    </row>
  </sheetData>
  <sheetProtection selectLockedCells="1"/>
  <customSheetViews>
    <customSheetView guid="{CAFC3889-2B2E-4ACE-8E07-6B5287B49573}" scale="55">
      <selection activeCell="AD4" sqref="AD4"/>
      <pageMargins left="0" right="0" top="0.39370078740157483" bottom="0" header="0" footer="0"/>
      <printOptions horizontalCentered="1" verticalCentered="1"/>
      <pageSetup paperSize="9" scale="55" orientation="landscape" r:id="rId1"/>
    </customSheetView>
    <customSheetView guid="{DD55A657-ECA8-4269-A774-673A49CE864D}" scale="70" showPageBreaks="1" fitToPage="1" printArea="1">
      <selection activeCell="R7" sqref="R7"/>
      <pageMargins left="0" right="0" top="0" bottom="0" header="0" footer="0"/>
      <printOptions horizontalCentered="1" verticalCentered="1"/>
      <pageSetup paperSize="9" scale="48" orientation="landscape" r:id="rId2"/>
    </customSheetView>
  </customSheetViews>
  <mergeCells count="27">
    <mergeCell ref="N34:N35"/>
    <mergeCell ref="Q37:R37"/>
    <mergeCell ref="P26:R26"/>
    <mergeCell ref="Q29:R30"/>
    <mergeCell ref="R34:R36"/>
    <mergeCell ref="Q34:Q36"/>
    <mergeCell ref="P25:R25"/>
    <mergeCell ref="N30:O30"/>
    <mergeCell ref="N31:O31"/>
    <mergeCell ref="N32:O32"/>
    <mergeCell ref="AU23:AW23"/>
    <mergeCell ref="P22:R23"/>
    <mergeCell ref="B2:G2"/>
    <mergeCell ref="H2:L2"/>
    <mergeCell ref="N2:T2"/>
    <mergeCell ref="U2:Y2"/>
    <mergeCell ref="P21:R21"/>
    <mergeCell ref="R14:R15"/>
    <mergeCell ref="P5:R5"/>
    <mergeCell ref="P6:R6"/>
    <mergeCell ref="P7:R7"/>
    <mergeCell ref="P8:R8"/>
    <mergeCell ref="P20:R20"/>
    <mergeCell ref="Q13:R13"/>
    <mergeCell ref="P10:R10"/>
    <mergeCell ref="P11:R11"/>
    <mergeCell ref="P17:R18"/>
  </mergeCells>
  <conditionalFormatting sqref="L5:L54 C5:C54 F5:F54 I5:I54">
    <cfRule type="cellIs" dxfId="4" priority="85" stopIfTrue="1" operator="lessThan">
      <formula>$P$14</formula>
    </cfRule>
    <cfRule type="cellIs" dxfId="3" priority="86" operator="greaterThan">
      <formula>$P$15</formula>
    </cfRule>
  </conditionalFormatting>
  <conditionalFormatting sqref="P38">
    <cfRule type="cellIs" dxfId="2" priority="69" operator="equal">
      <formula>$R$38</formula>
    </cfRule>
    <cfRule type="cellIs" dxfId="1" priority="70" operator="lessThan">
      <formula>$R$38</formula>
    </cfRule>
  </conditionalFormatting>
  <conditionalFormatting sqref="P37">
    <cfRule type="cellIs" dxfId="0" priority="58" operator="lessThan">
      <formula>$R$38</formula>
    </cfRule>
  </conditionalFormatting>
  <dataValidations count="5">
    <dataValidation type="list" allowBlank="1" showInputMessage="1" showErrorMessage="1" sqref="R34" xr:uid="{00000000-0002-0000-0000-000000000000}">
      <formula1>"ja / yes, nein / no"</formula1>
    </dataValidation>
    <dataValidation type="list" allowBlank="1" showInputMessage="1" showErrorMessage="1" sqref="P26:R26" xr:uid="{00000000-0002-0000-0000-000001000000}">
      <formula1>Prüfer</formula1>
    </dataValidation>
    <dataValidation type="list" allowBlank="1" showInputMessage="1" showErrorMessage="1" sqref="P20:R20" xr:uid="{00000000-0002-0000-0000-000002000000}">
      <formula1>"1,2,3,4,5,6,7,8,9,10,11,12,13,14,15,16,17,18,19,20"</formula1>
    </dataValidation>
    <dataValidation type="list" allowBlank="1" showInputMessage="1" showErrorMessage="1" sqref="P10" xr:uid="{00000000-0002-0000-0000-000003000000}">
      <formula1>Messkriterien</formula1>
    </dataValidation>
    <dataValidation type="list" allowBlank="1" showInputMessage="1" showErrorMessage="1" sqref="R14:R15" xr:uid="{00000000-0002-0000-0000-000004000000}">
      <formula1>Toleranzen</formula1>
    </dataValidation>
  </dataValidations>
  <printOptions horizontalCentered="1" verticalCentered="1"/>
  <pageMargins left="0" right="0" top="0.39370078740157483" bottom="0" header="0" footer="0"/>
  <pageSetup paperSize="9" scale="54" orientation="landscape" r:id="rId3"/>
  <headerFooter>
    <oddFooter>&amp;LInternal: All rights reserved. Distribution within DRÄXLMAIER Group, customer and partners.&amp;C_x000D_&amp;1#&amp;"Arial"&amp;9&amp;K000000 Internal</oddFooter>
  </headerFooter>
  <ignoredErrors>
    <ignoredError sqref="Y22" evalError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chaltfläche5_KlickenSieAuf">
                <anchor moveWithCells="1">
                  <from>
                    <xdr:col>2</xdr:col>
                    <xdr:colOff>171450</xdr:colOff>
                    <xdr:row>0</xdr:row>
                    <xdr:rowOff>95250</xdr:rowOff>
                  </from>
                  <to>
                    <xdr:col>11</xdr:col>
                    <xdr:colOff>523875</xdr:colOff>
                    <xdr:row>1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pageSetUpPr fitToPage="1"/>
  </sheetPr>
  <dimension ref="B1:BM205"/>
  <sheetViews>
    <sheetView topLeftCell="A4" zoomScale="55" zoomScaleNormal="55" workbookViewId="0">
      <selection activeCell="S12" sqref="S12"/>
    </sheetView>
  </sheetViews>
  <sheetFormatPr defaultColWidth="11.42578125" defaultRowHeight="18.75" x14ac:dyDescent="0.3"/>
  <cols>
    <col min="1" max="1" width="2.140625" style="2" customWidth="1"/>
    <col min="2" max="2" width="5.7109375" style="2" customWidth="1"/>
    <col min="3" max="3" width="12.7109375" style="3" customWidth="1"/>
    <col min="4" max="4" width="2" style="2" customWidth="1"/>
    <col min="5" max="5" width="5.7109375" style="2" customWidth="1"/>
    <col min="6" max="6" width="12.7109375" style="3" customWidth="1"/>
    <col min="7" max="7" width="2" style="2" customWidth="1"/>
    <col min="8" max="8" width="5.7109375" style="2" customWidth="1"/>
    <col min="9" max="9" width="12.7109375" style="3" customWidth="1"/>
    <col min="10" max="10" width="1.7109375" style="2" customWidth="1"/>
    <col min="11" max="11" width="5.7109375" style="2" customWidth="1"/>
    <col min="12" max="12" width="12.7109375" style="3" customWidth="1"/>
    <col min="13" max="13" width="2.85546875" style="2" customWidth="1"/>
    <col min="14" max="14" width="19" style="2" customWidth="1"/>
    <col min="15" max="15" width="24" style="2" customWidth="1"/>
    <col min="16" max="16" width="14.140625" style="2" customWidth="1"/>
    <col min="17" max="17" width="11.42578125" style="2"/>
    <col min="18" max="25" width="20.42578125" style="2" customWidth="1"/>
    <col min="26" max="26" width="3.7109375" style="2" customWidth="1"/>
    <col min="27" max="27" width="8.42578125" style="2" customWidth="1"/>
    <col min="28" max="16384" width="11.42578125" style="2"/>
  </cols>
  <sheetData>
    <row r="1" spans="2:65" ht="13.7" customHeight="1" x14ac:dyDescent="0.3"/>
    <row r="2" spans="2:65" ht="65.25" customHeight="1" x14ac:dyDescent="0.5">
      <c r="B2" s="270" t="s">
        <v>30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2"/>
      <c r="N2" s="273" t="s">
        <v>40</v>
      </c>
      <c r="O2" s="273"/>
      <c r="P2" s="273"/>
      <c r="Q2" s="273"/>
      <c r="R2" s="273"/>
      <c r="S2" s="273"/>
      <c r="T2" s="273"/>
      <c r="U2" s="273"/>
      <c r="V2" s="274" t="s">
        <v>55</v>
      </c>
      <c r="W2" s="274"/>
      <c r="X2" s="274"/>
      <c r="Y2" s="274"/>
      <c r="AD2" s="275" t="s">
        <v>41</v>
      </c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U2" s="276" t="s">
        <v>42</v>
      </c>
      <c r="AV2" s="276"/>
      <c r="AW2" s="276"/>
      <c r="AX2" s="276"/>
      <c r="AY2" s="276"/>
      <c r="AZ2" s="276"/>
      <c r="BA2" s="276"/>
      <c r="BB2" s="276"/>
      <c r="BC2" s="276"/>
      <c r="BD2" s="276"/>
      <c r="BE2" s="276"/>
      <c r="BF2" s="276"/>
      <c r="BG2" s="276"/>
      <c r="BH2" s="276"/>
      <c r="BI2" s="276"/>
      <c r="BJ2" s="276"/>
      <c r="BK2" s="276"/>
      <c r="BL2" s="276"/>
      <c r="BM2" s="276"/>
    </row>
    <row r="3" spans="2:65" ht="19.5" thickBot="1" x14ac:dyDescent="0.35">
      <c r="B3" s="16"/>
      <c r="C3" s="17"/>
      <c r="D3" s="16"/>
      <c r="E3" s="16"/>
      <c r="F3" s="17"/>
      <c r="G3" s="16"/>
      <c r="H3" s="16"/>
      <c r="I3" s="17"/>
      <c r="J3" s="16"/>
      <c r="K3" s="16"/>
      <c r="L3" s="17"/>
      <c r="S3" s="168" t="s">
        <v>164</v>
      </c>
      <c r="T3" s="168" t="s">
        <v>165</v>
      </c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 t="s">
        <v>37</v>
      </c>
      <c r="AR3" s="33"/>
    </row>
    <row r="4" spans="2:65" s="4" customFormat="1" ht="24.95" customHeight="1" x14ac:dyDescent="0.25">
      <c r="B4" s="18" t="s">
        <v>1</v>
      </c>
      <c r="C4" s="19" t="s">
        <v>2</v>
      </c>
      <c r="D4" s="20"/>
      <c r="E4" s="18" t="s">
        <v>1</v>
      </c>
      <c r="F4" s="19" t="s">
        <v>2</v>
      </c>
      <c r="G4" s="18"/>
      <c r="H4" s="18" t="s">
        <v>1</v>
      </c>
      <c r="I4" s="19" t="s">
        <v>2</v>
      </c>
      <c r="J4" s="18"/>
      <c r="K4" s="18" t="s">
        <v>1</v>
      </c>
      <c r="L4" s="19" t="s">
        <v>2</v>
      </c>
      <c r="N4" s="278" t="s">
        <v>61</v>
      </c>
      <c r="O4" s="278"/>
      <c r="P4" s="278"/>
      <c r="S4" s="130" t="s">
        <v>95</v>
      </c>
      <c r="T4" s="131" t="s">
        <v>139</v>
      </c>
      <c r="V4" s="4" t="s">
        <v>84</v>
      </c>
      <c r="X4" s="246" t="s">
        <v>32</v>
      </c>
      <c r="Y4" s="246"/>
      <c r="Z4" s="2"/>
      <c r="AA4" s="2"/>
      <c r="AB4" s="2"/>
      <c r="AC4" s="2"/>
      <c r="AD4" s="48" t="s">
        <v>29</v>
      </c>
      <c r="AE4" s="48" t="s">
        <v>8</v>
      </c>
      <c r="AF4" s="48" t="s">
        <v>9</v>
      </c>
      <c r="AG4" s="48" t="s">
        <v>47</v>
      </c>
      <c r="AH4" s="48" t="s">
        <v>48</v>
      </c>
      <c r="AI4" s="48" t="str">
        <f>" - 1 Sigma"</f>
        <v xml:space="preserve"> - 1 Sigma</v>
      </c>
      <c r="AJ4" s="48" t="str">
        <f>" + 1 Sigma"</f>
        <v xml:space="preserve"> + 1 Sigma</v>
      </c>
      <c r="AK4" s="48" t="str">
        <f>"-  5 Sigma"</f>
        <v>-  5 Sigma</v>
      </c>
      <c r="AL4" s="48" t="str">
        <f>" + 5 Sigma"</f>
        <v xml:space="preserve"> + 5 Sigma</v>
      </c>
      <c r="AM4" s="48" t="str">
        <f>CONCATENATE("- ",IF('Eingabe und Diagramm'!P30&gt;=125,5,6),"  Sigma")</f>
        <v>- 6  Sigma</v>
      </c>
      <c r="AN4" s="48" t="str">
        <f>CONCATENATE("+ ",IF('Eingabe und Diagramm'!P30&gt;=125,5,6),"  Sigma")</f>
        <v>+ 6  Sigma</v>
      </c>
      <c r="AO4" s="158" t="s">
        <v>157</v>
      </c>
      <c r="AP4" s="43"/>
      <c r="AQ4" s="43" t="s">
        <v>38</v>
      </c>
      <c r="AR4" s="43" t="s">
        <v>39</v>
      </c>
      <c r="AV4" s="44" t="s">
        <v>44</v>
      </c>
      <c r="AW4" s="45" t="s">
        <v>43</v>
      </c>
      <c r="AX4" s="48" t="s">
        <v>45</v>
      </c>
      <c r="AY4" s="48" t="s">
        <v>51</v>
      </c>
      <c r="AZ4" s="48"/>
      <c r="BB4" s="39" t="s">
        <v>10</v>
      </c>
      <c r="BC4" s="39" t="s">
        <v>11</v>
      </c>
      <c r="BD4" s="39" t="s">
        <v>12</v>
      </c>
      <c r="BE4" s="39"/>
      <c r="BF4" s="39"/>
      <c r="BG4" s="39" t="s">
        <v>13</v>
      </c>
      <c r="BH4" s="39" t="s">
        <v>14</v>
      </c>
      <c r="BI4" s="39"/>
      <c r="BJ4" s="39"/>
      <c r="BK4" s="39" t="s">
        <v>15</v>
      </c>
    </row>
    <row r="5" spans="2:65" s="4" customFormat="1" ht="24.95" customHeight="1" x14ac:dyDescent="0.3">
      <c r="B5" s="18">
        <v>1</v>
      </c>
      <c r="C5" s="21" t="str">
        <f>IF('Eingabe und Diagramm'!C5="","",'Eingabe und Diagramm'!C5)</f>
        <v/>
      </c>
      <c r="D5" s="20"/>
      <c r="E5" s="18">
        <v>51</v>
      </c>
      <c r="F5" s="21" t="str">
        <f>IF('Eingabe und Diagramm'!F5="","",'Eingabe und Diagramm'!F5)</f>
        <v/>
      </c>
      <c r="G5" s="22"/>
      <c r="H5" s="23">
        <v>101</v>
      </c>
      <c r="I5" s="21" t="str">
        <f>IF('Eingabe und Diagramm'!I5="","",'Eingabe und Diagramm'!I5)</f>
        <v/>
      </c>
      <c r="J5" s="22"/>
      <c r="K5" s="23">
        <v>151</v>
      </c>
      <c r="L5" s="21" t="str">
        <f>IF('Eingabe und Diagramm'!L5="","",'Eingabe und Diagramm'!L5)</f>
        <v/>
      </c>
      <c r="N5" s="278" t="s">
        <v>60</v>
      </c>
      <c r="O5" s="278"/>
      <c r="P5" s="278"/>
      <c r="S5" s="132" t="s">
        <v>96</v>
      </c>
      <c r="T5" s="133" t="s">
        <v>139</v>
      </c>
      <c r="X5" s="246" t="s">
        <v>31</v>
      </c>
      <c r="Y5" s="246"/>
      <c r="Z5" s="2"/>
      <c r="AA5" s="2"/>
      <c r="AB5" s="2"/>
      <c r="AC5" s="2"/>
      <c r="AD5" s="43">
        <v>1</v>
      </c>
      <c r="AE5" s="43">
        <f t="shared" ref="AE5:AE36" si="0">IF(($P$21&gt;AD5),AD5,$P$21)</f>
        <v>0</v>
      </c>
      <c r="AF5" s="43">
        <f>IF(C5&lt;&gt;"",C5,1)</f>
        <v>1</v>
      </c>
      <c r="AG5" s="43" t="str">
        <f>IF(C5&lt;&gt;"",$P$19,AG4)</f>
        <v>OGW</v>
      </c>
      <c r="AH5" s="43" t="str">
        <f>IF(C5&lt;&gt;"",$P$18,AH4)</f>
        <v>UGW</v>
      </c>
      <c r="AI5" s="49" t="e">
        <f>P22-P23</f>
        <v>#DIV/0!</v>
      </c>
      <c r="AJ5" s="49" t="e">
        <f>P22+P23</f>
        <v>#DIV/0!</v>
      </c>
      <c r="AK5" s="49" t="e">
        <f>P22-5*P23</f>
        <v>#DIV/0!</v>
      </c>
      <c r="AL5" s="49" t="e">
        <f>P22+5*P23</f>
        <v>#DIV/0!</v>
      </c>
      <c r="AM5" s="49" t="e">
        <f>P22-IF('Eingabe und Diagramm'!P30&gt;=125,5,6)*P23</f>
        <v>#DIV/0!</v>
      </c>
      <c r="AN5" s="49" t="e">
        <f>P22+IF('Eingabe und Diagramm'!P30&gt;=125,5,6)*P23</f>
        <v>#DIV/0!</v>
      </c>
      <c r="AO5" s="49" t="e">
        <f>P22</f>
        <v>#DIV/0!</v>
      </c>
      <c r="AP5" s="49"/>
      <c r="AQ5" s="43">
        <f t="shared" ref="AQ5:AQ36" si="1">IF(AND(C5&lt;&gt;"",C5&lt;UGW),1,0)</f>
        <v>0</v>
      </c>
      <c r="AR5" s="43">
        <f t="shared" ref="AR5:AR36" si="2">IF(AND(C5&lt;&gt;"",C5&gt;OGW),1,0)</f>
        <v>0</v>
      </c>
      <c r="AV5" s="46">
        <v>-6</v>
      </c>
      <c r="AW5" s="47" t="e">
        <f t="shared" ref="AW5:AW16" si="3">$P$22+AV5*$P$23</f>
        <v>#DIV/0!</v>
      </c>
      <c r="AX5" s="48">
        <v>6</v>
      </c>
      <c r="AY5" s="48">
        <f>AX5*2</f>
        <v>12</v>
      </c>
      <c r="AZ5" s="47" t="e">
        <f>AW5</f>
        <v>#DIV/0!</v>
      </c>
      <c r="BB5" s="39" t="s">
        <v>16</v>
      </c>
      <c r="BC5" s="39" t="s">
        <v>17</v>
      </c>
      <c r="BD5" s="39" t="s">
        <v>17</v>
      </c>
      <c r="BE5" s="39" t="s">
        <v>17</v>
      </c>
      <c r="BF5" s="39" t="s">
        <v>17</v>
      </c>
      <c r="BG5" s="39" t="s">
        <v>18</v>
      </c>
      <c r="BH5" s="39" t="s">
        <v>18</v>
      </c>
      <c r="BI5" s="39" t="s">
        <v>13</v>
      </c>
      <c r="BJ5" s="39" t="s">
        <v>14</v>
      </c>
      <c r="BK5" s="39" t="s">
        <v>19</v>
      </c>
    </row>
    <row r="6" spans="2:65" s="4" customFormat="1" ht="24.95" customHeight="1" x14ac:dyDescent="0.3">
      <c r="B6" s="18">
        <v>2</v>
      </c>
      <c r="C6" s="21" t="str">
        <f>IF('Eingabe und Diagramm'!C6="","",'Eingabe und Diagramm'!C6)</f>
        <v/>
      </c>
      <c r="D6" s="20"/>
      <c r="E6" s="18">
        <v>52</v>
      </c>
      <c r="F6" s="21" t="str">
        <f>IF('Eingabe und Diagramm'!F6="","",'Eingabe und Diagramm'!F6)</f>
        <v/>
      </c>
      <c r="G6" s="22"/>
      <c r="H6" s="23">
        <v>102</v>
      </c>
      <c r="I6" s="21" t="str">
        <f>IF('Eingabe und Diagramm'!I6="","",'Eingabe und Diagramm'!I6)</f>
        <v/>
      </c>
      <c r="J6" s="22"/>
      <c r="K6" s="23">
        <v>152</v>
      </c>
      <c r="L6" s="21" t="str">
        <f>IF('Eingabe und Diagramm'!L6="","",'Eingabe und Diagramm'!L6)</f>
        <v/>
      </c>
      <c r="N6" s="50"/>
      <c r="O6" s="50"/>
      <c r="P6" s="50"/>
      <c r="S6" s="132" t="s">
        <v>97</v>
      </c>
      <c r="T6" s="133" t="s">
        <v>139</v>
      </c>
      <c r="Z6" s="2"/>
      <c r="AA6" s="2"/>
      <c r="AB6" s="2"/>
      <c r="AC6" s="2"/>
      <c r="AD6" s="43">
        <v>2</v>
      </c>
      <c r="AE6" s="43">
        <f t="shared" si="0"/>
        <v>0</v>
      </c>
      <c r="AF6" s="43" t="str">
        <f>IF(C6&lt;&gt;"",C6,AG5)</f>
        <v>OGW</v>
      </c>
      <c r="AG6" s="43" t="str">
        <f>IF(C6&lt;&gt;"",$P$19,AG5)</f>
        <v>OGW</v>
      </c>
      <c r="AH6" s="43" t="e">
        <f>IF(C6&lt;&gt;"",$P$18,AK5)</f>
        <v>#DIV/0!</v>
      </c>
      <c r="AI6" s="49" t="e">
        <f t="shared" ref="AI6:AO21" si="4">AI5</f>
        <v>#DIV/0!</v>
      </c>
      <c r="AJ6" s="49" t="e">
        <f t="shared" si="4"/>
        <v>#DIV/0!</v>
      </c>
      <c r="AK6" s="49" t="e">
        <f t="shared" si="4"/>
        <v>#DIV/0!</v>
      </c>
      <c r="AL6" s="49" t="e">
        <f t="shared" si="4"/>
        <v>#DIV/0!</v>
      </c>
      <c r="AM6" s="49" t="e">
        <f t="shared" si="4"/>
        <v>#DIV/0!</v>
      </c>
      <c r="AN6" s="49" t="e">
        <f t="shared" si="4"/>
        <v>#DIV/0!</v>
      </c>
      <c r="AO6" s="49" t="e">
        <f t="shared" si="4"/>
        <v>#DIV/0!</v>
      </c>
      <c r="AP6" s="43"/>
      <c r="AQ6" s="43">
        <f t="shared" si="1"/>
        <v>0</v>
      </c>
      <c r="AR6" s="43">
        <f t="shared" si="2"/>
        <v>0</v>
      </c>
      <c r="AV6" s="46">
        <v>-5</v>
      </c>
      <c r="AW6" s="47" t="e">
        <f t="shared" si="3"/>
        <v>#DIV/0!</v>
      </c>
      <c r="AX6" s="48">
        <v>6</v>
      </c>
      <c r="AY6" s="48">
        <f t="shared" ref="AY6:AY16" si="5">AX6*2</f>
        <v>12</v>
      </c>
      <c r="AZ6" s="47" t="e">
        <f>AZ5</f>
        <v>#DIV/0!</v>
      </c>
      <c r="BB6" s="39" t="s">
        <v>20</v>
      </c>
      <c r="BC6" s="39" t="s">
        <v>21</v>
      </c>
      <c r="BD6" s="39" t="s">
        <v>21</v>
      </c>
      <c r="BE6" s="39" t="s">
        <v>22</v>
      </c>
      <c r="BF6" s="39" t="s">
        <v>23</v>
      </c>
      <c r="BG6" s="39" t="s">
        <v>24</v>
      </c>
      <c r="BH6" s="39" t="s">
        <v>24</v>
      </c>
      <c r="BI6" s="39" t="s">
        <v>25</v>
      </c>
      <c r="BJ6" s="39" t="s">
        <v>25</v>
      </c>
      <c r="BK6" s="39" t="s">
        <v>26</v>
      </c>
    </row>
    <row r="7" spans="2:65" s="4" customFormat="1" ht="24.95" customHeight="1" x14ac:dyDescent="0.3">
      <c r="B7" s="18">
        <v>3</v>
      </c>
      <c r="C7" s="21" t="str">
        <f>IF('Eingabe und Diagramm'!C7="","",'Eingabe und Diagramm'!C7)</f>
        <v/>
      </c>
      <c r="D7" s="20"/>
      <c r="E7" s="18">
        <v>53</v>
      </c>
      <c r="F7" s="21" t="str">
        <f>IF('Eingabe und Diagramm'!F7="","",'Eingabe und Diagramm'!F7)</f>
        <v/>
      </c>
      <c r="G7" s="22"/>
      <c r="H7" s="23">
        <v>103</v>
      </c>
      <c r="I7" s="21" t="str">
        <f>IF('Eingabe und Diagramm'!I7="","",'Eingabe und Diagramm'!I7)</f>
        <v/>
      </c>
      <c r="J7" s="22"/>
      <c r="K7" s="23">
        <v>153</v>
      </c>
      <c r="L7" s="21" t="str">
        <f>IF('Eingabe und Diagramm'!L7="","",'Eingabe und Diagramm'!L7)</f>
        <v/>
      </c>
      <c r="N7" s="50"/>
      <c r="O7" s="50"/>
      <c r="P7" s="50"/>
      <c r="S7" s="132" t="s">
        <v>98</v>
      </c>
      <c r="T7" s="133" t="s">
        <v>139</v>
      </c>
      <c r="Z7" s="2"/>
      <c r="AA7" s="2"/>
      <c r="AB7" s="2"/>
      <c r="AC7" s="2"/>
      <c r="AD7" s="43">
        <v>3</v>
      </c>
      <c r="AE7" s="43">
        <f t="shared" si="0"/>
        <v>0</v>
      </c>
      <c r="AF7" s="43" t="str">
        <f>IF(C7&lt;&gt;"",C7,AG6)</f>
        <v>OGW</v>
      </c>
      <c r="AG7" s="43" t="str">
        <f t="shared" ref="AG7:AG70" si="6">IF(C7&lt;&gt;"",$P$19,AG6)</f>
        <v>OGW</v>
      </c>
      <c r="AH7" s="43" t="e">
        <f>IF(C7&lt;&gt;"",$P$18,AK6)</f>
        <v>#DIV/0!</v>
      </c>
      <c r="AI7" s="49" t="e">
        <f t="shared" si="4"/>
        <v>#DIV/0!</v>
      </c>
      <c r="AJ7" s="49" t="e">
        <f t="shared" si="4"/>
        <v>#DIV/0!</v>
      </c>
      <c r="AK7" s="49" t="e">
        <f t="shared" si="4"/>
        <v>#DIV/0!</v>
      </c>
      <c r="AL7" s="49" t="e">
        <f t="shared" si="4"/>
        <v>#DIV/0!</v>
      </c>
      <c r="AM7" s="49" t="e">
        <f t="shared" si="4"/>
        <v>#DIV/0!</v>
      </c>
      <c r="AN7" s="49" t="e">
        <f t="shared" si="4"/>
        <v>#DIV/0!</v>
      </c>
      <c r="AO7" s="49" t="e">
        <f t="shared" si="4"/>
        <v>#DIV/0!</v>
      </c>
      <c r="AP7" s="43"/>
      <c r="AQ7" s="43">
        <f t="shared" si="1"/>
        <v>0</v>
      </c>
      <c r="AR7" s="43">
        <f t="shared" si="2"/>
        <v>0</v>
      </c>
      <c r="AV7" s="46">
        <v>-4</v>
      </c>
      <c r="AW7" s="47" t="e">
        <f t="shared" si="3"/>
        <v>#DIV/0!</v>
      </c>
      <c r="AX7" s="48">
        <v>6</v>
      </c>
      <c r="AY7" s="48">
        <f t="shared" si="5"/>
        <v>12</v>
      </c>
      <c r="AZ7" s="47" t="e">
        <f t="shared" ref="AZ7:AZ16" si="7">AZ6</f>
        <v>#DIV/0!</v>
      </c>
      <c r="BB7" s="40" t="s">
        <v>27</v>
      </c>
      <c r="BC7" s="40" t="s">
        <v>76</v>
      </c>
      <c r="BD7" s="40" t="s">
        <v>77</v>
      </c>
      <c r="BE7" s="40" t="s">
        <v>78</v>
      </c>
      <c r="BF7" s="40" t="s">
        <v>79</v>
      </c>
      <c r="BG7" s="40" t="s">
        <v>80</v>
      </c>
      <c r="BH7" s="40" t="s">
        <v>81</v>
      </c>
      <c r="BI7" s="40" t="s">
        <v>82</v>
      </c>
      <c r="BJ7" s="40" t="s">
        <v>83</v>
      </c>
      <c r="BK7" s="40" t="s">
        <v>28</v>
      </c>
    </row>
    <row r="8" spans="2:65" s="4" customFormat="1" ht="24.95" customHeight="1" x14ac:dyDescent="0.3">
      <c r="B8" s="18">
        <v>4</v>
      </c>
      <c r="C8" s="21" t="str">
        <f>IF('Eingabe und Diagramm'!C8="","",'Eingabe und Diagramm'!C8)</f>
        <v/>
      </c>
      <c r="D8" s="20"/>
      <c r="E8" s="18">
        <v>54</v>
      </c>
      <c r="F8" s="21" t="str">
        <f>IF('Eingabe und Diagramm'!F8="","",'Eingabe und Diagramm'!F8)</f>
        <v/>
      </c>
      <c r="G8" s="22"/>
      <c r="H8" s="23">
        <v>104</v>
      </c>
      <c r="I8" s="21" t="str">
        <f>IF('Eingabe und Diagramm'!I8="","",'Eingabe und Diagramm'!I8)</f>
        <v/>
      </c>
      <c r="J8" s="22"/>
      <c r="K8" s="23">
        <v>154</v>
      </c>
      <c r="L8" s="21" t="str">
        <f>IF('Eingabe und Diagramm'!L8="","",'Eingabe und Diagramm'!L8)</f>
        <v/>
      </c>
      <c r="N8" s="51" t="s">
        <v>53</v>
      </c>
      <c r="O8" s="279" t="str">
        <f>CONCATENATE('Eingabe und Diagramm'!P7)</f>
        <v/>
      </c>
      <c r="P8" s="279"/>
      <c r="S8" s="132" t="s">
        <v>99</v>
      </c>
      <c r="T8" s="133" t="s">
        <v>139</v>
      </c>
      <c r="Z8" s="2"/>
      <c r="AA8" s="2"/>
      <c r="AB8" s="2"/>
      <c r="AC8" s="2"/>
      <c r="AD8" s="43">
        <v>4</v>
      </c>
      <c r="AE8" s="43">
        <f t="shared" si="0"/>
        <v>0</v>
      </c>
      <c r="AF8" s="43" t="str">
        <f t="shared" ref="AF8:AF71" si="8">IF(C8&lt;&gt;"",C8,AF7)</f>
        <v>OGW</v>
      </c>
      <c r="AG8" s="43" t="str">
        <f t="shared" si="6"/>
        <v>OGW</v>
      </c>
      <c r="AH8" s="43" t="e">
        <f t="shared" ref="AH8:AH71" si="9">IF(C8&lt;&gt;"",$P$18,AH7)</f>
        <v>#DIV/0!</v>
      </c>
      <c r="AI8" s="49" t="e">
        <f t="shared" si="4"/>
        <v>#DIV/0!</v>
      </c>
      <c r="AJ8" s="49" t="e">
        <f t="shared" si="4"/>
        <v>#DIV/0!</v>
      </c>
      <c r="AK8" s="49" t="e">
        <f t="shared" si="4"/>
        <v>#DIV/0!</v>
      </c>
      <c r="AL8" s="49" t="e">
        <f t="shared" si="4"/>
        <v>#DIV/0!</v>
      </c>
      <c r="AM8" s="49" t="e">
        <f t="shared" si="4"/>
        <v>#DIV/0!</v>
      </c>
      <c r="AN8" s="49" t="e">
        <f t="shared" si="4"/>
        <v>#DIV/0!</v>
      </c>
      <c r="AO8" s="49" t="e">
        <f t="shared" si="4"/>
        <v>#DIV/0!</v>
      </c>
      <c r="AP8" s="43"/>
      <c r="AQ8" s="43">
        <f t="shared" si="1"/>
        <v>0</v>
      </c>
      <c r="AR8" s="43">
        <f t="shared" si="2"/>
        <v>0</v>
      </c>
      <c r="AV8" s="46">
        <v>-2</v>
      </c>
      <c r="AW8" s="47" t="e">
        <f t="shared" si="3"/>
        <v>#DIV/0!</v>
      </c>
      <c r="AX8" s="48">
        <v>6</v>
      </c>
      <c r="AY8" s="48">
        <f t="shared" si="5"/>
        <v>12</v>
      </c>
      <c r="AZ8" s="47" t="e">
        <f t="shared" si="7"/>
        <v>#DIV/0!</v>
      </c>
      <c r="BB8" s="24">
        <v>1</v>
      </c>
      <c r="BC8" s="26">
        <f>Q64</f>
        <v>0</v>
      </c>
      <c r="BD8" s="26">
        <f t="shared" ref="BD8:BD71" si="10">BC9-0.00001</f>
        <v>-1.0000000000000001E-5</v>
      </c>
      <c r="BE8" s="27">
        <f>(BD8+BC8)/2</f>
        <v>-5.0000000000000004E-6</v>
      </c>
      <c r="BF8" s="28">
        <f>P32/100</f>
        <v>0</v>
      </c>
      <c r="BG8" s="29">
        <f>FREQUENCY($C$5:$C$204,BD8)</f>
        <v>0</v>
      </c>
      <c r="BH8" s="30" t="e">
        <f t="shared" ref="BH8:BH39" si="11">$BG8/$P$21</f>
        <v>#DIV/0!</v>
      </c>
      <c r="BI8" s="31">
        <f>BG8</f>
        <v>0</v>
      </c>
      <c r="BJ8" s="30" t="e">
        <f t="shared" ref="BJ8:BJ39" si="12">BI8/$P$21</f>
        <v>#DIV/0!</v>
      </c>
      <c r="BK8" s="32" t="e">
        <f>BJ8/BF8</f>
        <v>#DIV/0!</v>
      </c>
    </row>
    <row r="9" spans="2:65" s="4" customFormat="1" ht="24.95" customHeight="1" x14ac:dyDescent="0.3">
      <c r="B9" s="18">
        <v>5</v>
      </c>
      <c r="C9" s="21" t="str">
        <f>IF('Eingabe und Diagramm'!C9="","",'Eingabe und Diagramm'!C9)</f>
        <v/>
      </c>
      <c r="D9" s="20"/>
      <c r="E9" s="18">
        <v>55</v>
      </c>
      <c r="F9" s="21" t="str">
        <f>IF('Eingabe und Diagramm'!F9="","",'Eingabe und Diagramm'!F9)</f>
        <v/>
      </c>
      <c r="G9" s="22"/>
      <c r="H9" s="23">
        <v>105</v>
      </c>
      <c r="I9" s="21" t="str">
        <f>IF('Eingabe und Diagramm'!I9="","",'Eingabe und Diagramm'!I9)</f>
        <v/>
      </c>
      <c r="J9" s="22"/>
      <c r="K9" s="23">
        <v>155</v>
      </c>
      <c r="L9" s="21" t="str">
        <f>IF('Eingabe und Diagramm'!L9="","",'Eingabe und Diagramm'!L9)</f>
        <v/>
      </c>
      <c r="N9" s="51" t="s">
        <v>75</v>
      </c>
      <c r="O9" s="279" t="str">
        <f>CONCATENATE('Eingabe und Diagramm'!P5)</f>
        <v/>
      </c>
      <c r="P9" s="279"/>
      <c r="S9" s="132" t="s">
        <v>188</v>
      </c>
      <c r="T9" s="133" t="s">
        <v>139</v>
      </c>
      <c r="Z9" s="2"/>
      <c r="AA9" s="2"/>
      <c r="AB9" s="2"/>
      <c r="AC9" s="2"/>
      <c r="AD9" s="43">
        <v>5</v>
      </c>
      <c r="AE9" s="43">
        <f t="shared" si="0"/>
        <v>0</v>
      </c>
      <c r="AF9" s="43" t="str">
        <f t="shared" si="8"/>
        <v>OGW</v>
      </c>
      <c r="AG9" s="43" t="str">
        <f t="shared" si="6"/>
        <v>OGW</v>
      </c>
      <c r="AH9" s="43" t="e">
        <f t="shared" si="9"/>
        <v>#DIV/0!</v>
      </c>
      <c r="AI9" s="49" t="e">
        <f t="shared" si="4"/>
        <v>#DIV/0!</v>
      </c>
      <c r="AJ9" s="49" t="e">
        <f t="shared" si="4"/>
        <v>#DIV/0!</v>
      </c>
      <c r="AK9" s="49" t="e">
        <f t="shared" si="4"/>
        <v>#DIV/0!</v>
      </c>
      <c r="AL9" s="49" t="e">
        <f t="shared" si="4"/>
        <v>#DIV/0!</v>
      </c>
      <c r="AM9" s="49" t="e">
        <f t="shared" si="4"/>
        <v>#DIV/0!</v>
      </c>
      <c r="AN9" s="49" t="e">
        <f t="shared" si="4"/>
        <v>#DIV/0!</v>
      </c>
      <c r="AO9" s="49" t="e">
        <f t="shared" si="4"/>
        <v>#DIV/0!</v>
      </c>
      <c r="AP9" s="43"/>
      <c r="AQ9" s="43">
        <f t="shared" si="1"/>
        <v>0</v>
      </c>
      <c r="AR9" s="43">
        <f t="shared" si="2"/>
        <v>0</v>
      </c>
      <c r="AV9" s="46">
        <v>-1</v>
      </c>
      <c r="AW9" s="47" t="e">
        <f t="shared" si="3"/>
        <v>#DIV/0!</v>
      </c>
      <c r="AX9" s="48">
        <v>6</v>
      </c>
      <c r="AY9" s="48">
        <f t="shared" si="5"/>
        <v>12</v>
      </c>
      <c r="AZ9" s="47" t="e">
        <f t="shared" si="7"/>
        <v>#DIV/0!</v>
      </c>
      <c r="BB9" s="24">
        <v>2</v>
      </c>
      <c r="BC9" s="41">
        <f t="shared" ref="BC9:BC72" si="13">BC8+$P$32/100</f>
        <v>0</v>
      </c>
      <c r="BD9" s="26">
        <f t="shared" si="10"/>
        <v>-1.0000000000000001E-5</v>
      </c>
      <c r="BE9" s="27">
        <f t="shared" ref="BE9:BE72" si="14">(BD9+BC9)/2</f>
        <v>-5.0000000000000004E-6</v>
      </c>
      <c r="BF9" s="28">
        <f t="shared" ref="BF9:BF72" si="15">BD9-BC9</f>
        <v>-1.0000000000000001E-5</v>
      </c>
      <c r="BG9" s="29">
        <f t="shared" ref="BG9:BG72" si="16">FREQUENCY($C$5:$C$204,BD9)</f>
        <v>0</v>
      </c>
      <c r="BH9" s="30" t="e">
        <f t="shared" si="11"/>
        <v>#DIV/0!</v>
      </c>
      <c r="BI9" s="31">
        <f>BG9-BG8</f>
        <v>0</v>
      </c>
      <c r="BJ9" s="30" t="e">
        <f t="shared" si="12"/>
        <v>#DIV/0!</v>
      </c>
      <c r="BK9" s="32" t="e">
        <f t="shared" ref="BK9:BK72" si="17">BJ9/BF9</f>
        <v>#DIV/0!</v>
      </c>
      <c r="BM9" s="43" t="e">
        <f t="shared" ref="BM9:BM72" si="18">NORMINV(BH9,0,1)</f>
        <v>#DIV/0!</v>
      </c>
    </row>
    <row r="10" spans="2:65" s="4" customFormat="1" ht="24.95" customHeight="1" x14ac:dyDescent="0.3">
      <c r="B10" s="18">
        <v>6</v>
      </c>
      <c r="C10" s="21" t="str">
        <f>IF('Eingabe und Diagramm'!C10="","",'Eingabe und Diagramm'!C10)</f>
        <v/>
      </c>
      <c r="D10" s="20"/>
      <c r="E10" s="18">
        <v>56</v>
      </c>
      <c r="F10" s="21" t="str">
        <f>IF('Eingabe und Diagramm'!F10="","",'Eingabe und Diagramm'!F10)</f>
        <v/>
      </c>
      <c r="G10" s="22"/>
      <c r="H10" s="23">
        <v>106</v>
      </c>
      <c r="I10" s="21" t="str">
        <f>IF('Eingabe und Diagramm'!I10="","",'Eingabe und Diagramm'!I10)</f>
        <v/>
      </c>
      <c r="J10" s="22"/>
      <c r="K10" s="23">
        <v>156</v>
      </c>
      <c r="L10" s="21" t="str">
        <f>IF('Eingabe und Diagramm'!L10="","",'Eingabe und Diagramm'!L10)</f>
        <v/>
      </c>
      <c r="N10" s="51" t="s">
        <v>69</v>
      </c>
      <c r="O10" s="279" t="str">
        <f>CONCATENATE('Eingabe und Diagramm'!P8)</f>
        <v/>
      </c>
      <c r="P10" s="279"/>
      <c r="S10" s="132" t="s">
        <v>100</v>
      </c>
      <c r="T10" s="133" t="s">
        <v>139</v>
      </c>
      <c r="Z10" s="2"/>
      <c r="AA10" s="2"/>
      <c r="AB10" s="2"/>
      <c r="AC10" s="2"/>
      <c r="AD10" s="43">
        <v>6</v>
      </c>
      <c r="AE10" s="43">
        <f t="shared" si="0"/>
        <v>0</v>
      </c>
      <c r="AF10" s="43" t="str">
        <f t="shared" si="8"/>
        <v>OGW</v>
      </c>
      <c r="AG10" s="43" t="str">
        <f t="shared" si="6"/>
        <v>OGW</v>
      </c>
      <c r="AH10" s="43" t="e">
        <f t="shared" si="9"/>
        <v>#DIV/0!</v>
      </c>
      <c r="AI10" s="49" t="e">
        <f t="shared" si="4"/>
        <v>#DIV/0!</v>
      </c>
      <c r="AJ10" s="49" t="e">
        <f t="shared" si="4"/>
        <v>#DIV/0!</v>
      </c>
      <c r="AK10" s="49" t="e">
        <f t="shared" si="4"/>
        <v>#DIV/0!</v>
      </c>
      <c r="AL10" s="49" t="e">
        <f t="shared" si="4"/>
        <v>#DIV/0!</v>
      </c>
      <c r="AM10" s="49" t="e">
        <f t="shared" si="4"/>
        <v>#DIV/0!</v>
      </c>
      <c r="AN10" s="49" t="e">
        <f t="shared" si="4"/>
        <v>#DIV/0!</v>
      </c>
      <c r="AO10" s="49" t="e">
        <f t="shared" si="4"/>
        <v>#DIV/0!</v>
      </c>
      <c r="AP10" s="43"/>
      <c r="AQ10" s="43">
        <f t="shared" si="1"/>
        <v>0</v>
      </c>
      <c r="AR10" s="43">
        <f t="shared" si="2"/>
        <v>0</v>
      </c>
      <c r="AV10" s="46">
        <v>1</v>
      </c>
      <c r="AW10" s="47" t="e">
        <f t="shared" si="3"/>
        <v>#DIV/0!</v>
      </c>
      <c r="AX10" s="48">
        <v>6</v>
      </c>
      <c r="AY10" s="48">
        <f t="shared" si="5"/>
        <v>12</v>
      </c>
      <c r="AZ10" s="47" t="e">
        <f t="shared" si="7"/>
        <v>#DIV/0!</v>
      </c>
      <c r="BB10" s="24">
        <v>3</v>
      </c>
      <c r="BC10" s="41">
        <f t="shared" si="13"/>
        <v>0</v>
      </c>
      <c r="BD10" s="26">
        <f t="shared" si="10"/>
        <v>-1.0000000000000001E-5</v>
      </c>
      <c r="BE10" s="27">
        <f t="shared" si="14"/>
        <v>-5.0000000000000004E-6</v>
      </c>
      <c r="BF10" s="28">
        <f t="shared" si="15"/>
        <v>-1.0000000000000001E-5</v>
      </c>
      <c r="BG10" s="29">
        <f t="shared" si="16"/>
        <v>0</v>
      </c>
      <c r="BH10" s="30" t="e">
        <f t="shared" si="11"/>
        <v>#DIV/0!</v>
      </c>
      <c r="BI10" s="31">
        <f t="shared" ref="BI10:BI73" si="19">BG10-BG9</f>
        <v>0</v>
      </c>
      <c r="BJ10" s="30" t="e">
        <f t="shared" si="12"/>
        <v>#DIV/0!</v>
      </c>
      <c r="BK10" s="32" t="e">
        <f t="shared" si="17"/>
        <v>#DIV/0!</v>
      </c>
      <c r="BM10" s="43" t="e">
        <f t="shared" si="18"/>
        <v>#DIV/0!</v>
      </c>
    </row>
    <row r="11" spans="2:65" s="4" customFormat="1" ht="24.95" customHeight="1" x14ac:dyDescent="0.3">
      <c r="B11" s="18">
        <v>7</v>
      </c>
      <c r="C11" s="21" t="str">
        <f>IF('Eingabe und Diagramm'!C11="","",'Eingabe und Diagramm'!C11)</f>
        <v/>
      </c>
      <c r="D11" s="20"/>
      <c r="E11" s="18">
        <v>57</v>
      </c>
      <c r="F11" s="21" t="str">
        <f>IF('Eingabe und Diagramm'!F11="","",'Eingabe und Diagramm'!F11)</f>
        <v/>
      </c>
      <c r="G11" s="22"/>
      <c r="H11" s="23">
        <v>107</v>
      </c>
      <c r="I11" s="21" t="str">
        <f>IF('Eingabe und Diagramm'!I11="","",'Eingabe und Diagramm'!I11)</f>
        <v/>
      </c>
      <c r="J11" s="22"/>
      <c r="K11" s="23">
        <v>157</v>
      </c>
      <c r="L11" s="21" t="str">
        <f>IF('Eingabe und Diagramm'!L11="","",'Eingabe und Diagramm'!L11)</f>
        <v/>
      </c>
      <c r="N11" s="51" t="s">
        <v>56</v>
      </c>
      <c r="O11" s="279" t="str">
        <f>CONCATENATE('Eingabe und Diagramm'!P26)</f>
        <v/>
      </c>
      <c r="P11" s="279"/>
      <c r="S11" s="132" t="s">
        <v>190</v>
      </c>
      <c r="T11" s="133" t="s">
        <v>139</v>
      </c>
      <c r="Z11" s="2"/>
      <c r="AA11" s="2"/>
      <c r="AB11" s="2"/>
      <c r="AC11" s="2"/>
      <c r="AD11" s="43">
        <v>7</v>
      </c>
      <c r="AE11" s="43">
        <f t="shared" si="0"/>
        <v>0</v>
      </c>
      <c r="AF11" s="43" t="str">
        <f t="shared" si="8"/>
        <v>OGW</v>
      </c>
      <c r="AG11" s="43" t="str">
        <f t="shared" si="6"/>
        <v>OGW</v>
      </c>
      <c r="AH11" s="43" t="e">
        <f t="shared" si="9"/>
        <v>#DIV/0!</v>
      </c>
      <c r="AI11" s="49" t="e">
        <f t="shared" si="4"/>
        <v>#DIV/0!</v>
      </c>
      <c r="AJ11" s="49" t="e">
        <f t="shared" si="4"/>
        <v>#DIV/0!</v>
      </c>
      <c r="AK11" s="49" t="e">
        <f t="shared" si="4"/>
        <v>#DIV/0!</v>
      </c>
      <c r="AL11" s="49" t="e">
        <f t="shared" si="4"/>
        <v>#DIV/0!</v>
      </c>
      <c r="AM11" s="49" t="e">
        <f t="shared" si="4"/>
        <v>#DIV/0!</v>
      </c>
      <c r="AN11" s="49" t="e">
        <f t="shared" si="4"/>
        <v>#DIV/0!</v>
      </c>
      <c r="AO11" s="49" t="e">
        <f t="shared" si="4"/>
        <v>#DIV/0!</v>
      </c>
      <c r="AP11" s="43"/>
      <c r="AQ11" s="43">
        <f t="shared" si="1"/>
        <v>0</v>
      </c>
      <c r="AR11" s="43">
        <f t="shared" si="2"/>
        <v>0</v>
      </c>
      <c r="AV11" s="46">
        <v>2</v>
      </c>
      <c r="AW11" s="47" t="e">
        <f t="shared" si="3"/>
        <v>#DIV/0!</v>
      </c>
      <c r="AX11" s="48">
        <v>6</v>
      </c>
      <c r="AY11" s="48">
        <f t="shared" si="5"/>
        <v>12</v>
      </c>
      <c r="AZ11" s="47" t="e">
        <f t="shared" si="7"/>
        <v>#DIV/0!</v>
      </c>
      <c r="BB11" s="24">
        <v>4</v>
      </c>
      <c r="BC11" s="41">
        <f t="shared" si="13"/>
        <v>0</v>
      </c>
      <c r="BD11" s="26">
        <f t="shared" si="10"/>
        <v>-1.0000000000000001E-5</v>
      </c>
      <c r="BE11" s="27">
        <f t="shared" si="14"/>
        <v>-5.0000000000000004E-6</v>
      </c>
      <c r="BF11" s="28">
        <f t="shared" si="15"/>
        <v>-1.0000000000000001E-5</v>
      </c>
      <c r="BG11" s="29">
        <f t="shared" si="16"/>
        <v>0</v>
      </c>
      <c r="BH11" s="30" t="e">
        <f t="shared" si="11"/>
        <v>#DIV/0!</v>
      </c>
      <c r="BI11" s="31">
        <f t="shared" si="19"/>
        <v>0</v>
      </c>
      <c r="BJ11" s="30" t="e">
        <f t="shared" si="12"/>
        <v>#DIV/0!</v>
      </c>
      <c r="BK11" s="32" t="e">
        <f t="shared" si="17"/>
        <v>#DIV/0!</v>
      </c>
      <c r="BM11" s="43" t="e">
        <f t="shared" si="18"/>
        <v>#DIV/0!</v>
      </c>
    </row>
    <row r="12" spans="2:65" s="4" customFormat="1" ht="24.95" customHeight="1" x14ac:dyDescent="0.3">
      <c r="B12" s="18">
        <v>8</v>
      </c>
      <c r="C12" s="21" t="str">
        <f>IF('Eingabe und Diagramm'!C12="","",'Eingabe und Diagramm'!C12)</f>
        <v/>
      </c>
      <c r="D12" s="20"/>
      <c r="E12" s="18">
        <v>58</v>
      </c>
      <c r="F12" s="21" t="str">
        <f>IF('Eingabe und Diagramm'!F12="","",'Eingabe und Diagramm'!F12)</f>
        <v/>
      </c>
      <c r="G12" s="22"/>
      <c r="H12" s="23">
        <v>108</v>
      </c>
      <c r="I12" s="21" t="str">
        <f>IF('Eingabe und Diagramm'!I12="","",'Eingabe und Diagramm'!I12)</f>
        <v/>
      </c>
      <c r="J12" s="22"/>
      <c r="K12" s="23">
        <v>158</v>
      </c>
      <c r="L12" s="21" t="str">
        <f>IF('Eingabe und Diagramm'!L12="","",'Eingabe und Diagramm'!L12)</f>
        <v/>
      </c>
      <c r="N12" s="51" t="s">
        <v>57</v>
      </c>
      <c r="O12" s="279" t="str">
        <f>CONCATENATE('Eingabe und Diagramm'!P17)</f>
        <v/>
      </c>
      <c r="P12" s="279"/>
      <c r="S12" s="132" t="s">
        <v>102</v>
      </c>
      <c r="T12" s="133" t="s">
        <v>139</v>
      </c>
      <c r="Z12" s="2"/>
      <c r="AA12" s="2"/>
      <c r="AB12" s="2"/>
      <c r="AC12" s="2"/>
      <c r="AD12" s="43">
        <v>8</v>
      </c>
      <c r="AE12" s="43">
        <f t="shared" si="0"/>
        <v>0</v>
      </c>
      <c r="AF12" s="43" t="str">
        <f t="shared" si="8"/>
        <v>OGW</v>
      </c>
      <c r="AG12" s="43" t="str">
        <f t="shared" si="6"/>
        <v>OGW</v>
      </c>
      <c r="AH12" s="43" t="e">
        <f t="shared" si="9"/>
        <v>#DIV/0!</v>
      </c>
      <c r="AI12" s="49" t="e">
        <f t="shared" si="4"/>
        <v>#DIV/0!</v>
      </c>
      <c r="AJ12" s="49" t="e">
        <f t="shared" si="4"/>
        <v>#DIV/0!</v>
      </c>
      <c r="AK12" s="49" t="e">
        <f t="shared" si="4"/>
        <v>#DIV/0!</v>
      </c>
      <c r="AL12" s="49" t="e">
        <f t="shared" si="4"/>
        <v>#DIV/0!</v>
      </c>
      <c r="AM12" s="49" t="e">
        <f t="shared" si="4"/>
        <v>#DIV/0!</v>
      </c>
      <c r="AN12" s="49" t="e">
        <f t="shared" si="4"/>
        <v>#DIV/0!</v>
      </c>
      <c r="AO12" s="49" t="e">
        <f t="shared" si="4"/>
        <v>#DIV/0!</v>
      </c>
      <c r="AP12" s="43"/>
      <c r="AQ12" s="43">
        <f t="shared" si="1"/>
        <v>0</v>
      </c>
      <c r="AR12" s="43">
        <f t="shared" si="2"/>
        <v>0</v>
      </c>
      <c r="AV12" s="46">
        <v>4</v>
      </c>
      <c r="AW12" s="47" t="e">
        <f t="shared" si="3"/>
        <v>#DIV/0!</v>
      </c>
      <c r="AX12" s="48">
        <v>6</v>
      </c>
      <c r="AY12" s="48">
        <f t="shared" si="5"/>
        <v>12</v>
      </c>
      <c r="AZ12" s="47" t="e">
        <f t="shared" si="7"/>
        <v>#DIV/0!</v>
      </c>
      <c r="BB12" s="24">
        <v>5</v>
      </c>
      <c r="BC12" s="41">
        <f t="shared" si="13"/>
        <v>0</v>
      </c>
      <c r="BD12" s="26">
        <f t="shared" si="10"/>
        <v>-1.0000000000000001E-5</v>
      </c>
      <c r="BE12" s="27">
        <f t="shared" si="14"/>
        <v>-5.0000000000000004E-6</v>
      </c>
      <c r="BF12" s="28">
        <f t="shared" si="15"/>
        <v>-1.0000000000000001E-5</v>
      </c>
      <c r="BG12" s="29">
        <f t="shared" si="16"/>
        <v>0</v>
      </c>
      <c r="BH12" s="30" t="e">
        <f t="shared" si="11"/>
        <v>#DIV/0!</v>
      </c>
      <c r="BI12" s="31">
        <f t="shared" si="19"/>
        <v>0</v>
      </c>
      <c r="BJ12" s="30" t="e">
        <f t="shared" si="12"/>
        <v>#DIV/0!</v>
      </c>
      <c r="BK12" s="32" t="e">
        <f t="shared" si="17"/>
        <v>#DIV/0!</v>
      </c>
      <c r="BM12" s="43" t="e">
        <f t="shared" si="18"/>
        <v>#DIV/0!</v>
      </c>
    </row>
    <row r="13" spans="2:65" s="4" customFormat="1" ht="24.95" customHeight="1" x14ac:dyDescent="0.3">
      <c r="B13" s="18">
        <v>9</v>
      </c>
      <c r="C13" s="21" t="str">
        <f>IF('Eingabe und Diagramm'!C13="","",'Eingabe und Diagramm'!C13)</f>
        <v/>
      </c>
      <c r="D13" s="20"/>
      <c r="E13" s="18">
        <v>59</v>
      </c>
      <c r="F13" s="21" t="str">
        <f>IF('Eingabe und Diagramm'!F13="","",'Eingabe und Diagramm'!F13)</f>
        <v/>
      </c>
      <c r="G13" s="22"/>
      <c r="H13" s="23">
        <v>109</v>
      </c>
      <c r="I13" s="21" t="str">
        <f>IF('Eingabe und Diagramm'!I13="","",'Eingabe und Diagramm'!I13)</f>
        <v/>
      </c>
      <c r="J13" s="22"/>
      <c r="K13" s="23">
        <v>159</v>
      </c>
      <c r="L13" s="21" t="str">
        <f>IF('Eingabe und Diagramm'!L13="","",'Eingabe und Diagramm'!L13)</f>
        <v/>
      </c>
      <c r="N13" s="50"/>
      <c r="O13" s="50"/>
      <c r="P13" s="50"/>
      <c r="S13" s="132" t="s">
        <v>103</v>
      </c>
      <c r="T13" s="133" t="s">
        <v>139</v>
      </c>
      <c r="Z13" s="2"/>
      <c r="AA13" s="2"/>
      <c r="AB13" s="2"/>
      <c r="AC13" s="2"/>
      <c r="AD13" s="43">
        <v>9</v>
      </c>
      <c r="AE13" s="43">
        <f t="shared" si="0"/>
        <v>0</v>
      </c>
      <c r="AF13" s="43" t="str">
        <f t="shared" si="8"/>
        <v>OGW</v>
      </c>
      <c r="AG13" s="43" t="str">
        <f t="shared" si="6"/>
        <v>OGW</v>
      </c>
      <c r="AH13" s="43" t="e">
        <f t="shared" si="9"/>
        <v>#DIV/0!</v>
      </c>
      <c r="AI13" s="49" t="e">
        <f t="shared" si="4"/>
        <v>#DIV/0!</v>
      </c>
      <c r="AJ13" s="49" t="e">
        <f t="shared" si="4"/>
        <v>#DIV/0!</v>
      </c>
      <c r="AK13" s="49" t="e">
        <f t="shared" si="4"/>
        <v>#DIV/0!</v>
      </c>
      <c r="AL13" s="49" t="e">
        <f t="shared" si="4"/>
        <v>#DIV/0!</v>
      </c>
      <c r="AM13" s="49" t="e">
        <f t="shared" si="4"/>
        <v>#DIV/0!</v>
      </c>
      <c r="AN13" s="49" t="e">
        <f t="shared" si="4"/>
        <v>#DIV/0!</v>
      </c>
      <c r="AO13" s="49" t="e">
        <f t="shared" si="4"/>
        <v>#DIV/0!</v>
      </c>
      <c r="AP13" s="43"/>
      <c r="AQ13" s="43">
        <f t="shared" si="1"/>
        <v>0</v>
      </c>
      <c r="AR13" s="43">
        <f t="shared" si="2"/>
        <v>0</v>
      </c>
      <c r="AV13" s="46">
        <v>5</v>
      </c>
      <c r="AW13" s="47" t="e">
        <f t="shared" si="3"/>
        <v>#DIV/0!</v>
      </c>
      <c r="AX13" s="48">
        <v>6</v>
      </c>
      <c r="AY13" s="48">
        <f t="shared" si="5"/>
        <v>12</v>
      </c>
      <c r="AZ13" s="47" t="e">
        <f t="shared" si="7"/>
        <v>#DIV/0!</v>
      </c>
      <c r="BB13" s="24">
        <v>6</v>
      </c>
      <c r="BC13" s="41">
        <f t="shared" si="13"/>
        <v>0</v>
      </c>
      <c r="BD13" s="26">
        <f t="shared" si="10"/>
        <v>-1.0000000000000001E-5</v>
      </c>
      <c r="BE13" s="27">
        <f t="shared" si="14"/>
        <v>-5.0000000000000004E-6</v>
      </c>
      <c r="BF13" s="28">
        <f t="shared" si="15"/>
        <v>-1.0000000000000001E-5</v>
      </c>
      <c r="BG13" s="29">
        <f t="shared" si="16"/>
        <v>0</v>
      </c>
      <c r="BH13" s="30" t="e">
        <f t="shared" si="11"/>
        <v>#DIV/0!</v>
      </c>
      <c r="BI13" s="31">
        <f t="shared" si="19"/>
        <v>0</v>
      </c>
      <c r="BJ13" s="30" t="e">
        <f t="shared" si="12"/>
        <v>#DIV/0!</v>
      </c>
      <c r="BK13" s="32" t="e">
        <f t="shared" si="17"/>
        <v>#DIV/0!</v>
      </c>
      <c r="BM13" s="43" t="e">
        <f t="shared" si="18"/>
        <v>#DIV/0!</v>
      </c>
    </row>
    <row r="14" spans="2:65" s="4" customFormat="1" ht="24.95" customHeight="1" x14ac:dyDescent="0.3">
      <c r="B14" s="18">
        <v>10</v>
      </c>
      <c r="C14" s="21" t="str">
        <f>IF('Eingabe und Diagramm'!C14="","",'Eingabe und Diagramm'!C14)</f>
        <v/>
      </c>
      <c r="D14" s="20"/>
      <c r="E14" s="18">
        <v>60</v>
      </c>
      <c r="F14" s="21" t="str">
        <f>IF('Eingabe und Diagramm'!F14="","",'Eingabe und Diagramm'!F14)</f>
        <v/>
      </c>
      <c r="G14" s="22"/>
      <c r="H14" s="23">
        <v>110</v>
      </c>
      <c r="I14" s="21" t="str">
        <f>IF('Eingabe und Diagramm'!I14="","",'Eingabe und Diagramm'!I14)</f>
        <v/>
      </c>
      <c r="J14" s="22"/>
      <c r="K14" s="23">
        <v>160</v>
      </c>
      <c r="L14" s="21" t="str">
        <f>IF('Eingabe und Diagramm'!L14="","",'Eingabe und Diagramm'!L14)</f>
        <v/>
      </c>
      <c r="N14" s="50"/>
      <c r="O14" s="51" t="s">
        <v>54</v>
      </c>
      <c r="P14" s="116">
        <f>'Eingabe und Diagramm'!P25</f>
        <v>0</v>
      </c>
      <c r="S14" s="132" t="s">
        <v>104</v>
      </c>
      <c r="T14" s="133" t="s">
        <v>139</v>
      </c>
      <c r="Z14" s="2"/>
      <c r="AA14" s="2"/>
      <c r="AB14" s="2"/>
      <c r="AC14" s="2"/>
      <c r="AD14" s="43">
        <v>10</v>
      </c>
      <c r="AE14" s="43">
        <f t="shared" si="0"/>
        <v>0</v>
      </c>
      <c r="AF14" s="43" t="str">
        <f t="shared" si="8"/>
        <v>OGW</v>
      </c>
      <c r="AG14" s="43" t="str">
        <f t="shared" si="6"/>
        <v>OGW</v>
      </c>
      <c r="AH14" s="43" t="e">
        <f t="shared" si="9"/>
        <v>#DIV/0!</v>
      </c>
      <c r="AI14" s="49" t="e">
        <f t="shared" si="4"/>
        <v>#DIV/0!</v>
      </c>
      <c r="AJ14" s="49" t="e">
        <f t="shared" si="4"/>
        <v>#DIV/0!</v>
      </c>
      <c r="AK14" s="49" t="e">
        <f t="shared" si="4"/>
        <v>#DIV/0!</v>
      </c>
      <c r="AL14" s="49" t="e">
        <f t="shared" si="4"/>
        <v>#DIV/0!</v>
      </c>
      <c r="AM14" s="49" t="e">
        <f t="shared" si="4"/>
        <v>#DIV/0!</v>
      </c>
      <c r="AN14" s="49" t="e">
        <f t="shared" si="4"/>
        <v>#DIV/0!</v>
      </c>
      <c r="AO14" s="49" t="e">
        <f t="shared" si="4"/>
        <v>#DIV/0!</v>
      </c>
      <c r="AP14" s="43"/>
      <c r="AQ14" s="43">
        <f t="shared" si="1"/>
        <v>0</v>
      </c>
      <c r="AR14" s="43">
        <f t="shared" si="2"/>
        <v>0</v>
      </c>
      <c r="AV14" s="46">
        <v>6</v>
      </c>
      <c r="AW14" s="47" t="e">
        <f t="shared" si="3"/>
        <v>#DIV/0!</v>
      </c>
      <c r="AX14" s="48">
        <v>6</v>
      </c>
      <c r="AY14" s="48">
        <f t="shared" si="5"/>
        <v>12</v>
      </c>
      <c r="AZ14" s="47" t="e">
        <f t="shared" si="7"/>
        <v>#DIV/0!</v>
      </c>
      <c r="BB14" s="24">
        <v>7</v>
      </c>
      <c r="BC14" s="41">
        <f t="shared" si="13"/>
        <v>0</v>
      </c>
      <c r="BD14" s="26">
        <f t="shared" si="10"/>
        <v>-1.0000000000000001E-5</v>
      </c>
      <c r="BE14" s="27">
        <f t="shared" si="14"/>
        <v>-5.0000000000000004E-6</v>
      </c>
      <c r="BF14" s="28">
        <f t="shared" si="15"/>
        <v>-1.0000000000000001E-5</v>
      </c>
      <c r="BG14" s="29">
        <f t="shared" si="16"/>
        <v>0</v>
      </c>
      <c r="BH14" s="30" t="e">
        <f t="shared" si="11"/>
        <v>#DIV/0!</v>
      </c>
      <c r="BI14" s="31">
        <f t="shared" si="19"/>
        <v>0</v>
      </c>
      <c r="BJ14" s="30" t="e">
        <f t="shared" si="12"/>
        <v>#DIV/0!</v>
      </c>
      <c r="BK14" s="32" t="e">
        <f t="shared" si="17"/>
        <v>#DIV/0!</v>
      </c>
      <c r="BM14" s="43" t="e">
        <f t="shared" si="18"/>
        <v>#DIV/0!</v>
      </c>
    </row>
    <row r="15" spans="2:65" s="4" customFormat="1" ht="24.95" customHeight="1" x14ac:dyDescent="0.3">
      <c r="B15" s="18">
        <v>11</v>
      </c>
      <c r="C15" s="21" t="str">
        <f>IF('Eingabe und Diagramm'!C15="","",'Eingabe und Diagramm'!C15)</f>
        <v/>
      </c>
      <c r="D15" s="20"/>
      <c r="E15" s="18">
        <v>61</v>
      </c>
      <c r="F15" s="21" t="str">
        <f>IF('Eingabe und Diagramm'!F15="","",'Eingabe und Diagramm'!F15)</f>
        <v/>
      </c>
      <c r="G15" s="22"/>
      <c r="H15" s="23">
        <v>111</v>
      </c>
      <c r="I15" s="21" t="str">
        <f>IF('Eingabe und Diagramm'!I15="","",'Eingabe und Diagramm'!I15)</f>
        <v/>
      </c>
      <c r="J15" s="22"/>
      <c r="K15" s="23">
        <v>161</v>
      </c>
      <c r="L15" s="21" t="str">
        <f>IF('Eingabe und Diagramm'!L15="","",'Eingabe und Diagramm'!L15)</f>
        <v/>
      </c>
      <c r="N15" s="50"/>
      <c r="O15" s="51" t="s">
        <v>3</v>
      </c>
      <c r="P15" s="52" t="str">
        <f>Merkmal</f>
        <v>Gewicht / weight</v>
      </c>
      <c r="S15" s="132" t="s">
        <v>105</v>
      </c>
      <c r="T15" s="133" t="s">
        <v>139</v>
      </c>
      <c r="AA15" s="2"/>
      <c r="AB15" s="2"/>
      <c r="AC15" s="2"/>
      <c r="AD15" s="43">
        <v>11</v>
      </c>
      <c r="AE15" s="43">
        <f t="shared" si="0"/>
        <v>0</v>
      </c>
      <c r="AF15" s="43" t="str">
        <f t="shared" si="8"/>
        <v>OGW</v>
      </c>
      <c r="AG15" s="43" t="str">
        <f t="shared" si="6"/>
        <v>OGW</v>
      </c>
      <c r="AH15" s="43" t="e">
        <f t="shared" si="9"/>
        <v>#DIV/0!</v>
      </c>
      <c r="AI15" s="49" t="e">
        <f t="shared" si="4"/>
        <v>#DIV/0!</v>
      </c>
      <c r="AJ15" s="49" t="e">
        <f t="shared" si="4"/>
        <v>#DIV/0!</v>
      </c>
      <c r="AK15" s="49" t="e">
        <f t="shared" si="4"/>
        <v>#DIV/0!</v>
      </c>
      <c r="AL15" s="49" t="e">
        <f t="shared" si="4"/>
        <v>#DIV/0!</v>
      </c>
      <c r="AM15" s="49" t="e">
        <f t="shared" si="4"/>
        <v>#DIV/0!</v>
      </c>
      <c r="AN15" s="49" t="e">
        <f t="shared" si="4"/>
        <v>#DIV/0!</v>
      </c>
      <c r="AO15" s="49" t="e">
        <f t="shared" si="4"/>
        <v>#DIV/0!</v>
      </c>
      <c r="AP15" s="43"/>
      <c r="AQ15" s="43">
        <f t="shared" si="1"/>
        <v>0</v>
      </c>
      <c r="AR15" s="43">
        <f t="shared" si="2"/>
        <v>0</v>
      </c>
      <c r="AV15" s="46">
        <v>-3</v>
      </c>
      <c r="AW15" s="47" t="e">
        <f t="shared" si="3"/>
        <v>#DIV/0!</v>
      </c>
      <c r="AX15" s="48">
        <v>6</v>
      </c>
      <c r="AY15" s="48">
        <f t="shared" si="5"/>
        <v>12</v>
      </c>
      <c r="AZ15" s="47" t="e">
        <f t="shared" si="7"/>
        <v>#DIV/0!</v>
      </c>
      <c r="BB15" s="24">
        <v>8</v>
      </c>
      <c r="BC15" s="41">
        <f t="shared" si="13"/>
        <v>0</v>
      </c>
      <c r="BD15" s="26">
        <f t="shared" si="10"/>
        <v>-1.0000000000000001E-5</v>
      </c>
      <c r="BE15" s="27">
        <f t="shared" si="14"/>
        <v>-5.0000000000000004E-6</v>
      </c>
      <c r="BF15" s="28">
        <f t="shared" si="15"/>
        <v>-1.0000000000000001E-5</v>
      </c>
      <c r="BG15" s="29">
        <f t="shared" si="16"/>
        <v>0</v>
      </c>
      <c r="BH15" s="30" t="e">
        <f t="shared" si="11"/>
        <v>#DIV/0!</v>
      </c>
      <c r="BI15" s="31">
        <f t="shared" si="19"/>
        <v>0</v>
      </c>
      <c r="BJ15" s="30" t="e">
        <f t="shared" si="12"/>
        <v>#DIV/0!</v>
      </c>
      <c r="BK15" s="32" t="e">
        <f t="shared" si="17"/>
        <v>#DIV/0!</v>
      </c>
      <c r="BM15" s="43" t="e">
        <f t="shared" si="18"/>
        <v>#DIV/0!</v>
      </c>
    </row>
    <row r="16" spans="2:65" s="4" customFormat="1" ht="24.95" customHeight="1" x14ac:dyDescent="0.3">
      <c r="B16" s="18">
        <v>12</v>
      </c>
      <c r="C16" s="21" t="str">
        <f>IF('Eingabe und Diagramm'!C16="","",'Eingabe und Diagramm'!C16)</f>
        <v/>
      </c>
      <c r="D16" s="20"/>
      <c r="E16" s="18">
        <v>62</v>
      </c>
      <c r="F16" s="21" t="str">
        <f>IF('Eingabe und Diagramm'!F16="","",'Eingabe und Diagramm'!F16)</f>
        <v/>
      </c>
      <c r="G16" s="22"/>
      <c r="H16" s="23">
        <v>112</v>
      </c>
      <c r="I16" s="21" t="str">
        <f>IF('Eingabe und Diagramm'!I16="","",'Eingabe und Diagramm'!I16)</f>
        <v/>
      </c>
      <c r="J16" s="22"/>
      <c r="K16" s="23">
        <v>162</v>
      </c>
      <c r="L16" s="21" t="str">
        <f>IF('Eingabe und Diagramm'!L16="","",'Eingabe und Diagramm'!L16)</f>
        <v/>
      </c>
      <c r="N16" s="50"/>
      <c r="O16" s="51" t="s">
        <v>4</v>
      </c>
      <c r="P16" s="52" t="str">
        <f>Maßeinheit</f>
        <v>[g]</v>
      </c>
      <c r="S16" s="132" t="s">
        <v>101</v>
      </c>
      <c r="T16" s="133" t="s">
        <v>139</v>
      </c>
      <c r="AA16" s="2"/>
      <c r="AB16" s="2"/>
      <c r="AC16" s="2"/>
      <c r="AD16" s="43">
        <v>12</v>
      </c>
      <c r="AE16" s="43">
        <f t="shared" si="0"/>
        <v>0</v>
      </c>
      <c r="AF16" s="43" t="str">
        <f t="shared" si="8"/>
        <v>OGW</v>
      </c>
      <c r="AG16" s="43" t="str">
        <f t="shared" si="6"/>
        <v>OGW</v>
      </c>
      <c r="AH16" s="43" t="e">
        <f t="shared" si="9"/>
        <v>#DIV/0!</v>
      </c>
      <c r="AI16" s="49" t="e">
        <f t="shared" si="4"/>
        <v>#DIV/0!</v>
      </c>
      <c r="AJ16" s="49" t="e">
        <f t="shared" si="4"/>
        <v>#DIV/0!</v>
      </c>
      <c r="AK16" s="49" t="e">
        <f t="shared" si="4"/>
        <v>#DIV/0!</v>
      </c>
      <c r="AL16" s="49" t="e">
        <f t="shared" si="4"/>
        <v>#DIV/0!</v>
      </c>
      <c r="AM16" s="49" t="e">
        <f t="shared" si="4"/>
        <v>#DIV/0!</v>
      </c>
      <c r="AN16" s="49" t="e">
        <f t="shared" si="4"/>
        <v>#DIV/0!</v>
      </c>
      <c r="AO16" s="49" t="e">
        <f t="shared" si="4"/>
        <v>#DIV/0!</v>
      </c>
      <c r="AP16" s="43"/>
      <c r="AQ16" s="43">
        <f t="shared" si="1"/>
        <v>0</v>
      </c>
      <c r="AR16" s="43">
        <f t="shared" si="2"/>
        <v>0</v>
      </c>
      <c r="AV16" s="46">
        <v>3</v>
      </c>
      <c r="AW16" s="47" t="e">
        <f t="shared" si="3"/>
        <v>#DIV/0!</v>
      </c>
      <c r="AX16" s="48">
        <v>6</v>
      </c>
      <c r="AY16" s="48">
        <f t="shared" si="5"/>
        <v>12</v>
      </c>
      <c r="AZ16" s="47" t="e">
        <f t="shared" si="7"/>
        <v>#DIV/0!</v>
      </c>
      <c r="BB16" s="24">
        <v>9</v>
      </c>
      <c r="BC16" s="41">
        <f t="shared" si="13"/>
        <v>0</v>
      </c>
      <c r="BD16" s="26">
        <f t="shared" si="10"/>
        <v>-1.0000000000000001E-5</v>
      </c>
      <c r="BE16" s="27">
        <f t="shared" si="14"/>
        <v>-5.0000000000000004E-6</v>
      </c>
      <c r="BF16" s="28">
        <f t="shared" si="15"/>
        <v>-1.0000000000000001E-5</v>
      </c>
      <c r="BG16" s="29">
        <f t="shared" si="16"/>
        <v>0</v>
      </c>
      <c r="BH16" s="30" t="e">
        <f t="shared" si="11"/>
        <v>#DIV/0!</v>
      </c>
      <c r="BI16" s="31">
        <f t="shared" si="19"/>
        <v>0</v>
      </c>
      <c r="BJ16" s="30" t="e">
        <f t="shared" si="12"/>
        <v>#DIV/0!</v>
      </c>
      <c r="BK16" s="32" t="e">
        <f t="shared" si="17"/>
        <v>#DIV/0!</v>
      </c>
      <c r="BM16" s="43" t="e">
        <f t="shared" si="18"/>
        <v>#DIV/0!</v>
      </c>
    </row>
    <row r="17" spans="2:65" s="4" customFormat="1" ht="24.95" customHeight="1" x14ac:dyDescent="0.3">
      <c r="B17" s="18">
        <v>13</v>
      </c>
      <c r="C17" s="21" t="str">
        <f>IF('Eingabe und Diagramm'!C17="","",'Eingabe und Diagramm'!C17)</f>
        <v/>
      </c>
      <c r="D17" s="20"/>
      <c r="E17" s="18">
        <v>63</v>
      </c>
      <c r="F17" s="21" t="str">
        <f>IF('Eingabe und Diagramm'!F17="","",'Eingabe und Diagramm'!F17)</f>
        <v/>
      </c>
      <c r="G17" s="22"/>
      <c r="H17" s="23">
        <v>113</v>
      </c>
      <c r="I17" s="21" t="str">
        <f>IF('Eingabe und Diagramm'!I17="","",'Eingabe und Diagramm'!I17)</f>
        <v/>
      </c>
      <c r="J17" s="22"/>
      <c r="K17" s="23">
        <v>163</v>
      </c>
      <c r="L17" s="21" t="str">
        <f>IF('Eingabe und Diagramm'!L17="","",'Eingabe und Diagramm'!L17)</f>
        <v/>
      </c>
      <c r="N17" s="50"/>
      <c r="O17" s="51" t="s">
        <v>62</v>
      </c>
      <c r="P17" s="53">
        <f>Sollwert</f>
        <v>0</v>
      </c>
      <c r="S17" s="132" t="s">
        <v>106</v>
      </c>
      <c r="T17" s="133" t="s">
        <v>139</v>
      </c>
      <c r="AA17" s="2"/>
      <c r="AB17" s="2"/>
      <c r="AC17" s="2"/>
      <c r="AD17" s="43">
        <v>13</v>
      </c>
      <c r="AE17" s="43">
        <f t="shared" si="0"/>
        <v>0</v>
      </c>
      <c r="AF17" s="43" t="str">
        <f t="shared" si="8"/>
        <v>OGW</v>
      </c>
      <c r="AG17" s="43" t="str">
        <f t="shared" si="6"/>
        <v>OGW</v>
      </c>
      <c r="AH17" s="43" t="e">
        <f t="shared" si="9"/>
        <v>#DIV/0!</v>
      </c>
      <c r="AI17" s="49" t="e">
        <f t="shared" si="4"/>
        <v>#DIV/0!</v>
      </c>
      <c r="AJ17" s="49" t="e">
        <f t="shared" si="4"/>
        <v>#DIV/0!</v>
      </c>
      <c r="AK17" s="49" t="e">
        <f t="shared" si="4"/>
        <v>#DIV/0!</v>
      </c>
      <c r="AL17" s="49" t="e">
        <f t="shared" si="4"/>
        <v>#DIV/0!</v>
      </c>
      <c r="AM17" s="49" t="e">
        <f t="shared" si="4"/>
        <v>#DIV/0!</v>
      </c>
      <c r="AN17" s="49" t="e">
        <f t="shared" si="4"/>
        <v>#DIV/0!</v>
      </c>
      <c r="AO17" s="49" t="e">
        <f t="shared" si="4"/>
        <v>#DIV/0!</v>
      </c>
      <c r="AP17" s="43"/>
      <c r="AQ17" s="43">
        <f t="shared" si="1"/>
        <v>0</v>
      </c>
      <c r="AR17" s="43">
        <f t="shared" si="2"/>
        <v>0</v>
      </c>
      <c r="BB17" s="24">
        <v>10</v>
      </c>
      <c r="BC17" s="41">
        <f t="shared" si="13"/>
        <v>0</v>
      </c>
      <c r="BD17" s="26">
        <f t="shared" si="10"/>
        <v>-1.0000000000000001E-5</v>
      </c>
      <c r="BE17" s="27">
        <f t="shared" si="14"/>
        <v>-5.0000000000000004E-6</v>
      </c>
      <c r="BF17" s="28">
        <f t="shared" si="15"/>
        <v>-1.0000000000000001E-5</v>
      </c>
      <c r="BG17" s="29">
        <f t="shared" si="16"/>
        <v>0</v>
      </c>
      <c r="BH17" s="30" t="e">
        <f t="shared" si="11"/>
        <v>#DIV/0!</v>
      </c>
      <c r="BI17" s="31">
        <f t="shared" si="19"/>
        <v>0</v>
      </c>
      <c r="BJ17" s="30" t="e">
        <f t="shared" si="12"/>
        <v>#DIV/0!</v>
      </c>
      <c r="BK17" s="32" t="e">
        <f t="shared" si="17"/>
        <v>#DIV/0!</v>
      </c>
      <c r="BM17" s="43" t="e">
        <f t="shared" si="18"/>
        <v>#DIV/0!</v>
      </c>
    </row>
    <row r="18" spans="2:65" s="4" customFormat="1" ht="24.95" customHeight="1" x14ac:dyDescent="0.3">
      <c r="B18" s="18">
        <v>14</v>
      </c>
      <c r="C18" s="21" t="str">
        <f>IF('Eingabe und Diagramm'!C18="","",'Eingabe und Diagramm'!C18)</f>
        <v/>
      </c>
      <c r="D18" s="20"/>
      <c r="E18" s="18">
        <v>64</v>
      </c>
      <c r="F18" s="21" t="str">
        <f>IF('Eingabe und Diagramm'!F18="","",'Eingabe und Diagramm'!F18)</f>
        <v/>
      </c>
      <c r="G18" s="22"/>
      <c r="H18" s="23">
        <v>114</v>
      </c>
      <c r="I18" s="21" t="str">
        <f>IF('Eingabe und Diagramm'!I18="","",'Eingabe und Diagramm'!I18)</f>
        <v/>
      </c>
      <c r="J18" s="22"/>
      <c r="K18" s="23">
        <v>164</v>
      </c>
      <c r="L18" s="21" t="str">
        <f>IF('Eingabe und Diagramm'!L18="","",'Eingabe und Diagramm'!L18)</f>
        <v/>
      </c>
      <c r="N18" s="50"/>
      <c r="O18" s="51" t="s">
        <v>5</v>
      </c>
      <c r="P18" s="53">
        <f>UGW</f>
        <v>0</v>
      </c>
      <c r="S18" s="132" t="s">
        <v>176</v>
      </c>
      <c r="T18" s="133" t="s">
        <v>139</v>
      </c>
      <c r="AA18" s="2"/>
      <c r="AB18" s="2"/>
      <c r="AC18" s="2"/>
      <c r="AD18" s="43">
        <v>14</v>
      </c>
      <c r="AE18" s="43">
        <f t="shared" si="0"/>
        <v>0</v>
      </c>
      <c r="AF18" s="43" t="str">
        <f t="shared" si="8"/>
        <v>OGW</v>
      </c>
      <c r="AG18" s="43" t="str">
        <f t="shared" si="6"/>
        <v>OGW</v>
      </c>
      <c r="AH18" s="43" t="e">
        <f t="shared" si="9"/>
        <v>#DIV/0!</v>
      </c>
      <c r="AI18" s="49" t="e">
        <f t="shared" si="4"/>
        <v>#DIV/0!</v>
      </c>
      <c r="AJ18" s="49" t="e">
        <f t="shared" si="4"/>
        <v>#DIV/0!</v>
      </c>
      <c r="AK18" s="49" t="e">
        <f t="shared" si="4"/>
        <v>#DIV/0!</v>
      </c>
      <c r="AL18" s="49" t="e">
        <f t="shared" si="4"/>
        <v>#DIV/0!</v>
      </c>
      <c r="AM18" s="49" t="e">
        <f t="shared" si="4"/>
        <v>#DIV/0!</v>
      </c>
      <c r="AN18" s="49" t="e">
        <f t="shared" si="4"/>
        <v>#DIV/0!</v>
      </c>
      <c r="AO18" s="49" t="e">
        <f t="shared" si="4"/>
        <v>#DIV/0!</v>
      </c>
      <c r="AP18" s="43"/>
      <c r="AQ18" s="43">
        <f t="shared" si="1"/>
        <v>0</v>
      </c>
      <c r="AR18" s="43">
        <f t="shared" si="2"/>
        <v>0</v>
      </c>
      <c r="AV18" s="46" t="s">
        <v>46</v>
      </c>
      <c r="AW18" s="47" t="e">
        <f>Mittelwert</f>
        <v>#DIV/0!</v>
      </c>
      <c r="AX18" s="48">
        <v>6</v>
      </c>
      <c r="BB18" s="24">
        <v>11</v>
      </c>
      <c r="BC18" s="41">
        <f t="shared" si="13"/>
        <v>0</v>
      </c>
      <c r="BD18" s="26">
        <f t="shared" si="10"/>
        <v>-1.0000000000000001E-5</v>
      </c>
      <c r="BE18" s="27">
        <f t="shared" si="14"/>
        <v>-5.0000000000000004E-6</v>
      </c>
      <c r="BF18" s="28">
        <f t="shared" si="15"/>
        <v>-1.0000000000000001E-5</v>
      </c>
      <c r="BG18" s="29">
        <f t="shared" si="16"/>
        <v>0</v>
      </c>
      <c r="BH18" s="30" t="e">
        <f t="shared" si="11"/>
        <v>#DIV/0!</v>
      </c>
      <c r="BI18" s="31">
        <f t="shared" si="19"/>
        <v>0</v>
      </c>
      <c r="BJ18" s="30" t="e">
        <f t="shared" si="12"/>
        <v>#DIV/0!</v>
      </c>
      <c r="BK18" s="32" t="e">
        <f t="shared" si="17"/>
        <v>#DIV/0!</v>
      </c>
      <c r="BM18" s="43" t="e">
        <f t="shared" si="18"/>
        <v>#DIV/0!</v>
      </c>
    </row>
    <row r="19" spans="2:65" s="4" customFormat="1" ht="24.95" customHeight="1" x14ac:dyDescent="0.3">
      <c r="B19" s="18">
        <v>15</v>
      </c>
      <c r="C19" s="21" t="str">
        <f>IF('Eingabe und Diagramm'!C19="","",'Eingabe und Diagramm'!C19)</f>
        <v/>
      </c>
      <c r="D19" s="20"/>
      <c r="E19" s="18">
        <v>65</v>
      </c>
      <c r="F19" s="21" t="str">
        <f>IF('Eingabe und Diagramm'!F19="","",'Eingabe und Diagramm'!F19)</f>
        <v/>
      </c>
      <c r="G19" s="22"/>
      <c r="H19" s="23">
        <v>115</v>
      </c>
      <c r="I19" s="21" t="str">
        <f>IF('Eingabe und Diagramm'!I19="","",'Eingabe und Diagramm'!I19)</f>
        <v/>
      </c>
      <c r="J19" s="22"/>
      <c r="K19" s="23">
        <v>165</v>
      </c>
      <c r="L19" s="21" t="str">
        <f>IF('Eingabe und Diagramm'!L19="","",'Eingabe und Diagramm'!L19)</f>
        <v/>
      </c>
      <c r="N19" s="50"/>
      <c r="O19" s="51" t="s">
        <v>6</v>
      </c>
      <c r="P19" s="53">
        <f>OGW</f>
        <v>0</v>
      </c>
      <c r="S19" s="132" t="s">
        <v>107</v>
      </c>
      <c r="T19" s="133" t="s">
        <v>139</v>
      </c>
      <c r="AA19" s="2"/>
      <c r="AB19" s="2"/>
      <c r="AC19" s="2"/>
      <c r="AD19" s="43">
        <v>15</v>
      </c>
      <c r="AE19" s="43">
        <f t="shared" si="0"/>
        <v>0</v>
      </c>
      <c r="AF19" s="43" t="str">
        <f t="shared" si="8"/>
        <v>OGW</v>
      </c>
      <c r="AG19" s="43" t="str">
        <f t="shared" si="6"/>
        <v>OGW</v>
      </c>
      <c r="AH19" s="43" t="e">
        <f t="shared" si="9"/>
        <v>#DIV/0!</v>
      </c>
      <c r="AI19" s="49" t="e">
        <f t="shared" si="4"/>
        <v>#DIV/0!</v>
      </c>
      <c r="AJ19" s="49" t="e">
        <f t="shared" si="4"/>
        <v>#DIV/0!</v>
      </c>
      <c r="AK19" s="49" t="e">
        <f t="shared" si="4"/>
        <v>#DIV/0!</v>
      </c>
      <c r="AL19" s="49" t="e">
        <f t="shared" si="4"/>
        <v>#DIV/0!</v>
      </c>
      <c r="AM19" s="49" t="e">
        <f t="shared" si="4"/>
        <v>#DIV/0!</v>
      </c>
      <c r="AN19" s="49" t="e">
        <f t="shared" si="4"/>
        <v>#DIV/0!</v>
      </c>
      <c r="AO19" s="49" t="e">
        <f t="shared" si="4"/>
        <v>#DIV/0!</v>
      </c>
      <c r="AP19" s="43"/>
      <c r="AQ19" s="43">
        <f t="shared" si="1"/>
        <v>0</v>
      </c>
      <c r="AR19" s="43">
        <f t="shared" si="2"/>
        <v>0</v>
      </c>
      <c r="AV19" s="46" t="s">
        <v>47</v>
      </c>
      <c r="AW19" s="47">
        <f>OGW</f>
        <v>0</v>
      </c>
      <c r="AX19" s="48">
        <v>6</v>
      </c>
      <c r="BB19" s="24">
        <v>12</v>
      </c>
      <c r="BC19" s="41">
        <f t="shared" si="13"/>
        <v>0</v>
      </c>
      <c r="BD19" s="26">
        <f t="shared" si="10"/>
        <v>-1.0000000000000001E-5</v>
      </c>
      <c r="BE19" s="27">
        <f t="shared" si="14"/>
        <v>-5.0000000000000004E-6</v>
      </c>
      <c r="BF19" s="28">
        <f t="shared" si="15"/>
        <v>-1.0000000000000001E-5</v>
      </c>
      <c r="BG19" s="29">
        <f t="shared" si="16"/>
        <v>0</v>
      </c>
      <c r="BH19" s="30" t="e">
        <f t="shared" si="11"/>
        <v>#DIV/0!</v>
      </c>
      <c r="BI19" s="31">
        <f t="shared" si="19"/>
        <v>0</v>
      </c>
      <c r="BJ19" s="30" t="e">
        <f t="shared" si="12"/>
        <v>#DIV/0!</v>
      </c>
      <c r="BK19" s="32" t="e">
        <f t="shared" si="17"/>
        <v>#DIV/0!</v>
      </c>
      <c r="BM19" s="43" t="e">
        <f t="shared" si="18"/>
        <v>#DIV/0!</v>
      </c>
    </row>
    <row r="20" spans="2:65" s="4" customFormat="1" ht="24.95" customHeight="1" x14ac:dyDescent="0.3">
      <c r="B20" s="18">
        <v>16</v>
      </c>
      <c r="C20" s="21" t="str">
        <f>IF('Eingabe und Diagramm'!C20="","",'Eingabe und Diagramm'!C20)</f>
        <v/>
      </c>
      <c r="D20" s="20"/>
      <c r="E20" s="18">
        <v>66</v>
      </c>
      <c r="F20" s="21" t="str">
        <f>IF('Eingabe und Diagramm'!F20="","",'Eingabe und Diagramm'!F20)</f>
        <v/>
      </c>
      <c r="G20" s="22"/>
      <c r="H20" s="23">
        <v>116</v>
      </c>
      <c r="I20" s="21" t="str">
        <f>IF('Eingabe und Diagramm'!I20="","",'Eingabe und Diagramm'!I20)</f>
        <v/>
      </c>
      <c r="J20" s="22"/>
      <c r="K20" s="23">
        <v>166</v>
      </c>
      <c r="L20" s="21" t="str">
        <f>IF('Eingabe und Diagramm'!L20="","",'Eingabe und Diagramm'!L20)</f>
        <v/>
      </c>
      <c r="N20" s="50"/>
      <c r="O20" s="50"/>
      <c r="P20" s="50"/>
      <c r="S20" s="132" t="s">
        <v>108</v>
      </c>
      <c r="T20" s="133" t="s">
        <v>139</v>
      </c>
      <c r="AA20" s="2"/>
      <c r="AB20" s="2"/>
      <c r="AC20" s="2"/>
      <c r="AD20" s="43">
        <v>16</v>
      </c>
      <c r="AE20" s="43">
        <f t="shared" si="0"/>
        <v>0</v>
      </c>
      <c r="AF20" s="43" t="str">
        <f t="shared" si="8"/>
        <v>OGW</v>
      </c>
      <c r="AG20" s="43" t="str">
        <f t="shared" si="6"/>
        <v>OGW</v>
      </c>
      <c r="AH20" s="43" t="e">
        <f t="shared" si="9"/>
        <v>#DIV/0!</v>
      </c>
      <c r="AI20" s="49" t="e">
        <f t="shared" si="4"/>
        <v>#DIV/0!</v>
      </c>
      <c r="AJ20" s="49" t="e">
        <f t="shared" si="4"/>
        <v>#DIV/0!</v>
      </c>
      <c r="AK20" s="49" t="e">
        <f t="shared" si="4"/>
        <v>#DIV/0!</v>
      </c>
      <c r="AL20" s="49" t="e">
        <f t="shared" si="4"/>
        <v>#DIV/0!</v>
      </c>
      <c r="AM20" s="49" t="e">
        <f t="shared" si="4"/>
        <v>#DIV/0!</v>
      </c>
      <c r="AN20" s="49" t="e">
        <f t="shared" si="4"/>
        <v>#DIV/0!</v>
      </c>
      <c r="AO20" s="49" t="e">
        <f t="shared" si="4"/>
        <v>#DIV/0!</v>
      </c>
      <c r="AP20" s="43"/>
      <c r="AQ20" s="43">
        <f t="shared" si="1"/>
        <v>0</v>
      </c>
      <c r="AR20" s="43">
        <f t="shared" si="2"/>
        <v>0</v>
      </c>
      <c r="AV20" s="46" t="s">
        <v>48</v>
      </c>
      <c r="AW20" s="47">
        <f>UGW</f>
        <v>0</v>
      </c>
      <c r="AX20" s="48">
        <v>6</v>
      </c>
      <c r="BB20" s="24">
        <v>13</v>
      </c>
      <c r="BC20" s="41">
        <f t="shared" si="13"/>
        <v>0</v>
      </c>
      <c r="BD20" s="26">
        <f t="shared" si="10"/>
        <v>-1.0000000000000001E-5</v>
      </c>
      <c r="BE20" s="27">
        <f t="shared" si="14"/>
        <v>-5.0000000000000004E-6</v>
      </c>
      <c r="BF20" s="28">
        <f t="shared" si="15"/>
        <v>-1.0000000000000001E-5</v>
      </c>
      <c r="BG20" s="29">
        <f t="shared" si="16"/>
        <v>0</v>
      </c>
      <c r="BH20" s="30" t="e">
        <f t="shared" si="11"/>
        <v>#DIV/0!</v>
      </c>
      <c r="BI20" s="31">
        <f t="shared" si="19"/>
        <v>0</v>
      </c>
      <c r="BJ20" s="30" t="e">
        <f t="shared" si="12"/>
        <v>#DIV/0!</v>
      </c>
      <c r="BK20" s="32" t="e">
        <f t="shared" si="17"/>
        <v>#DIV/0!</v>
      </c>
      <c r="BM20" s="43" t="e">
        <f t="shared" si="18"/>
        <v>#DIV/0!</v>
      </c>
    </row>
    <row r="21" spans="2:65" s="4" customFormat="1" ht="24.95" customHeight="1" x14ac:dyDescent="0.3">
      <c r="B21" s="18">
        <v>17</v>
      </c>
      <c r="C21" s="21" t="str">
        <f>IF('Eingabe und Diagramm'!C21="","",'Eingabe und Diagramm'!C21)</f>
        <v/>
      </c>
      <c r="D21" s="20"/>
      <c r="E21" s="18">
        <v>67</v>
      </c>
      <c r="F21" s="21" t="str">
        <f>IF('Eingabe und Diagramm'!F21="","",'Eingabe und Diagramm'!F21)</f>
        <v/>
      </c>
      <c r="G21" s="22"/>
      <c r="H21" s="23">
        <v>117</v>
      </c>
      <c r="I21" s="21" t="str">
        <f>IF('Eingabe und Diagramm'!I21="","",'Eingabe und Diagramm'!I21)</f>
        <v/>
      </c>
      <c r="J21" s="22"/>
      <c r="K21" s="23">
        <v>167</v>
      </c>
      <c r="L21" s="21" t="str">
        <f>IF('Eingabe und Diagramm'!L21="","",'Eingabe und Diagramm'!L21)</f>
        <v/>
      </c>
      <c r="N21" s="51"/>
      <c r="O21" s="51" t="s">
        <v>0</v>
      </c>
      <c r="P21" s="54">
        <f>COUNT(C5:C204)</f>
        <v>0</v>
      </c>
      <c r="S21" s="132" t="s">
        <v>109</v>
      </c>
      <c r="T21" s="133" t="s">
        <v>139</v>
      </c>
      <c r="AA21" s="2"/>
      <c r="AB21" s="2"/>
      <c r="AC21" s="2"/>
      <c r="AD21" s="43">
        <v>17</v>
      </c>
      <c r="AE21" s="43">
        <f t="shared" si="0"/>
        <v>0</v>
      </c>
      <c r="AF21" s="43" t="str">
        <f t="shared" si="8"/>
        <v>OGW</v>
      </c>
      <c r="AG21" s="43" t="str">
        <f t="shared" si="6"/>
        <v>OGW</v>
      </c>
      <c r="AH21" s="43" t="e">
        <f t="shared" si="9"/>
        <v>#DIV/0!</v>
      </c>
      <c r="AI21" s="49" t="e">
        <f t="shared" si="4"/>
        <v>#DIV/0!</v>
      </c>
      <c r="AJ21" s="49" t="e">
        <f t="shared" si="4"/>
        <v>#DIV/0!</v>
      </c>
      <c r="AK21" s="49" t="e">
        <f t="shared" si="4"/>
        <v>#DIV/0!</v>
      </c>
      <c r="AL21" s="49" t="e">
        <f t="shared" si="4"/>
        <v>#DIV/0!</v>
      </c>
      <c r="AM21" s="49" t="e">
        <f t="shared" si="4"/>
        <v>#DIV/0!</v>
      </c>
      <c r="AN21" s="49" t="e">
        <f t="shared" si="4"/>
        <v>#DIV/0!</v>
      </c>
      <c r="AO21" s="49" t="e">
        <f t="shared" si="4"/>
        <v>#DIV/0!</v>
      </c>
      <c r="AP21" s="43"/>
      <c r="AQ21" s="43">
        <f t="shared" si="1"/>
        <v>0</v>
      </c>
      <c r="AR21" s="43">
        <f t="shared" si="2"/>
        <v>0</v>
      </c>
      <c r="AV21" s="46" t="s">
        <v>49</v>
      </c>
      <c r="AW21" s="47">
        <f>Sollwert</f>
        <v>0</v>
      </c>
      <c r="AX21" s="48">
        <v>6</v>
      </c>
      <c r="BB21" s="24">
        <v>14</v>
      </c>
      <c r="BC21" s="41">
        <f t="shared" si="13"/>
        <v>0</v>
      </c>
      <c r="BD21" s="26">
        <f t="shared" si="10"/>
        <v>-1.0000000000000001E-5</v>
      </c>
      <c r="BE21" s="27">
        <f t="shared" si="14"/>
        <v>-5.0000000000000004E-6</v>
      </c>
      <c r="BF21" s="28">
        <f t="shared" si="15"/>
        <v>-1.0000000000000001E-5</v>
      </c>
      <c r="BG21" s="29">
        <f t="shared" si="16"/>
        <v>0</v>
      </c>
      <c r="BH21" s="30" t="e">
        <f t="shared" si="11"/>
        <v>#DIV/0!</v>
      </c>
      <c r="BI21" s="31">
        <f t="shared" si="19"/>
        <v>0</v>
      </c>
      <c r="BJ21" s="30" t="e">
        <f t="shared" si="12"/>
        <v>#DIV/0!</v>
      </c>
      <c r="BK21" s="32" t="e">
        <f t="shared" si="17"/>
        <v>#DIV/0!</v>
      </c>
      <c r="BM21" s="43" t="e">
        <f t="shared" si="18"/>
        <v>#DIV/0!</v>
      </c>
    </row>
    <row r="22" spans="2:65" s="4" customFormat="1" ht="24.95" customHeight="1" x14ac:dyDescent="0.3">
      <c r="B22" s="18">
        <v>18</v>
      </c>
      <c r="C22" s="21" t="str">
        <f>IF('Eingabe und Diagramm'!C22="","",'Eingabe und Diagramm'!C22)</f>
        <v/>
      </c>
      <c r="D22" s="20"/>
      <c r="E22" s="18">
        <v>68</v>
      </c>
      <c r="F22" s="21" t="str">
        <f>IF('Eingabe und Diagramm'!F22="","",'Eingabe und Diagramm'!F22)</f>
        <v/>
      </c>
      <c r="G22" s="22"/>
      <c r="H22" s="23">
        <v>118</v>
      </c>
      <c r="I22" s="21" t="str">
        <f>IF('Eingabe und Diagramm'!I22="","",'Eingabe und Diagramm'!I22)</f>
        <v/>
      </c>
      <c r="J22" s="22"/>
      <c r="K22" s="23">
        <v>168</v>
      </c>
      <c r="L22" s="21" t="str">
        <f>IF('Eingabe und Diagramm'!L22="","",'Eingabe und Diagramm'!L22)</f>
        <v/>
      </c>
      <c r="N22" s="50"/>
      <c r="O22" s="51" t="s">
        <v>63</v>
      </c>
      <c r="P22" s="55" t="e">
        <f>AVERAGE(C5:C204)</f>
        <v>#DIV/0!</v>
      </c>
      <c r="S22" s="132" t="s">
        <v>110</v>
      </c>
      <c r="T22" s="133" t="s">
        <v>139</v>
      </c>
      <c r="AA22" s="2"/>
      <c r="AB22" s="2"/>
      <c r="AC22" s="2"/>
      <c r="AD22" s="43">
        <v>18</v>
      </c>
      <c r="AE22" s="43">
        <f t="shared" si="0"/>
        <v>0</v>
      </c>
      <c r="AF22" s="43" t="str">
        <f t="shared" si="8"/>
        <v>OGW</v>
      </c>
      <c r="AG22" s="43" t="str">
        <f t="shared" si="6"/>
        <v>OGW</v>
      </c>
      <c r="AH22" s="43" t="e">
        <f t="shared" si="9"/>
        <v>#DIV/0!</v>
      </c>
      <c r="AI22" s="49" t="e">
        <f t="shared" ref="AI22:AO37" si="20">AI21</f>
        <v>#DIV/0!</v>
      </c>
      <c r="AJ22" s="49" t="e">
        <f t="shared" si="20"/>
        <v>#DIV/0!</v>
      </c>
      <c r="AK22" s="49" t="e">
        <f t="shared" si="20"/>
        <v>#DIV/0!</v>
      </c>
      <c r="AL22" s="49" t="e">
        <f t="shared" si="20"/>
        <v>#DIV/0!</v>
      </c>
      <c r="AM22" s="49" t="e">
        <f t="shared" si="20"/>
        <v>#DIV/0!</v>
      </c>
      <c r="AN22" s="49" t="e">
        <f t="shared" si="20"/>
        <v>#DIV/0!</v>
      </c>
      <c r="AO22" s="49" t="e">
        <f t="shared" si="20"/>
        <v>#DIV/0!</v>
      </c>
      <c r="AP22" s="43"/>
      <c r="AQ22" s="43">
        <f t="shared" si="1"/>
        <v>0</v>
      </c>
      <c r="AR22" s="43">
        <f t="shared" si="2"/>
        <v>0</v>
      </c>
      <c r="AV22" s="13"/>
      <c r="AW22" s="13"/>
      <c r="AX22" s="13"/>
      <c r="BB22" s="24">
        <v>15</v>
      </c>
      <c r="BC22" s="41">
        <f t="shared" si="13"/>
        <v>0</v>
      </c>
      <c r="BD22" s="26">
        <f t="shared" si="10"/>
        <v>-1.0000000000000001E-5</v>
      </c>
      <c r="BE22" s="27">
        <f t="shared" si="14"/>
        <v>-5.0000000000000004E-6</v>
      </c>
      <c r="BF22" s="28">
        <f t="shared" si="15"/>
        <v>-1.0000000000000001E-5</v>
      </c>
      <c r="BG22" s="29">
        <f t="shared" si="16"/>
        <v>0</v>
      </c>
      <c r="BH22" s="30" t="e">
        <f t="shared" si="11"/>
        <v>#DIV/0!</v>
      </c>
      <c r="BI22" s="31">
        <f t="shared" si="19"/>
        <v>0</v>
      </c>
      <c r="BJ22" s="30" t="e">
        <f t="shared" si="12"/>
        <v>#DIV/0!</v>
      </c>
      <c r="BK22" s="32" t="e">
        <f t="shared" si="17"/>
        <v>#DIV/0!</v>
      </c>
      <c r="BM22" s="43" t="e">
        <f t="shared" si="18"/>
        <v>#DIV/0!</v>
      </c>
    </row>
    <row r="23" spans="2:65" s="4" customFormat="1" ht="24.95" customHeight="1" x14ac:dyDescent="0.3">
      <c r="B23" s="18">
        <v>19</v>
      </c>
      <c r="C23" s="21" t="str">
        <f>IF('Eingabe und Diagramm'!C23="","",'Eingabe und Diagramm'!C23)</f>
        <v/>
      </c>
      <c r="D23" s="20"/>
      <c r="E23" s="18">
        <v>69</v>
      </c>
      <c r="F23" s="21" t="str">
        <f>IF('Eingabe und Diagramm'!F23="","",'Eingabe und Diagramm'!F23)</f>
        <v/>
      </c>
      <c r="G23" s="22"/>
      <c r="H23" s="23">
        <v>119</v>
      </c>
      <c r="I23" s="21" t="str">
        <f>IF('Eingabe und Diagramm'!I23="","",'Eingabe und Diagramm'!I23)</f>
        <v/>
      </c>
      <c r="J23" s="22"/>
      <c r="K23" s="23">
        <v>169</v>
      </c>
      <c r="L23" s="21" t="str">
        <f>IF('Eingabe und Diagramm'!L23="","",'Eingabe und Diagramm'!L23)</f>
        <v/>
      </c>
      <c r="N23" s="50"/>
      <c r="O23" s="51" t="s">
        <v>64</v>
      </c>
      <c r="P23" s="55" t="e">
        <f>STDEV(C5:C204)</f>
        <v>#DIV/0!</v>
      </c>
      <c r="S23" s="132" t="s">
        <v>132</v>
      </c>
      <c r="T23" s="133" t="s">
        <v>140</v>
      </c>
      <c r="AA23" s="2"/>
      <c r="AB23" s="2"/>
      <c r="AC23" s="2"/>
      <c r="AD23" s="43">
        <v>19</v>
      </c>
      <c r="AE23" s="43">
        <f t="shared" si="0"/>
        <v>0</v>
      </c>
      <c r="AF23" s="43" t="str">
        <f t="shared" si="8"/>
        <v>OGW</v>
      </c>
      <c r="AG23" s="43" t="str">
        <f t="shared" si="6"/>
        <v>OGW</v>
      </c>
      <c r="AH23" s="43" t="e">
        <f t="shared" si="9"/>
        <v>#DIV/0!</v>
      </c>
      <c r="AI23" s="49" t="e">
        <f t="shared" si="20"/>
        <v>#DIV/0!</v>
      </c>
      <c r="AJ23" s="49" t="e">
        <f t="shared" si="20"/>
        <v>#DIV/0!</v>
      </c>
      <c r="AK23" s="49" t="e">
        <f t="shared" si="20"/>
        <v>#DIV/0!</v>
      </c>
      <c r="AL23" s="49" t="e">
        <f t="shared" si="20"/>
        <v>#DIV/0!</v>
      </c>
      <c r="AM23" s="49" t="e">
        <f t="shared" si="20"/>
        <v>#DIV/0!</v>
      </c>
      <c r="AN23" s="49" t="e">
        <f t="shared" si="20"/>
        <v>#DIV/0!</v>
      </c>
      <c r="AO23" s="49" t="e">
        <f t="shared" si="20"/>
        <v>#DIV/0!</v>
      </c>
      <c r="AP23" s="43"/>
      <c r="AQ23" s="43">
        <f t="shared" si="1"/>
        <v>0</v>
      </c>
      <c r="AR23" s="43">
        <f t="shared" si="2"/>
        <v>0</v>
      </c>
      <c r="AV23" s="280" t="s">
        <v>50</v>
      </c>
      <c r="AW23" s="280"/>
      <c r="AX23" s="280"/>
      <c r="BB23" s="24">
        <v>16</v>
      </c>
      <c r="BC23" s="41">
        <f t="shared" si="13"/>
        <v>0</v>
      </c>
      <c r="BD23" s="26">
        <f t="shared" si="10"/>
        <v>-1.0000000000000001E-5</v>
      </c>
      <c r="BE23" s="27">
        <f t="shared" si="14"/>
        <v>-5.0000000000000004E-6</v>
      </c>
      <c r="BF23" s="28">
        <f t="shared" si="15"/>
        <v>-1.0000000000000001E-5</v>
      </c>
      <c r="BG23" s="29">
        <f t="shared" si="16"/>
        <v>0</v>
      </c>
      <c r="BH23" s="30" t="e">
        <f t="shared" si="11"/>
        <v>#DIV/0!</v>
      </c>
      <c r="BI23" s="31">
        <f t="shared" si="19"/>
        <v>0</v>
      </c>
      <c r="BJ23" s="30" t="e">
        <f t="shared" si="12"/>
        <v>#DIV/0!</v>
      </c>
      <c r="BK23" s="32" t="e">
        <f t="shared" si="17"/>
        <v>#DIV/0!</v>
      </c>
      <c r="BM23" s="43" t="e">
        <f t="shared" si="18"/>
        <v>#DIV/0!</v>
      </c>
    </row>
    <row r="24" spans="2:65" s="4" customFormat="1" ht="24.95" customHeight="1" x14ac:dyDescent="0.3">
      <c r="B24" s="18">
        <v>20</v>
      </c>
      <c r="C24" s="21" t="str">
        <f>IF('Eingabe und Diagramm'!C24="","",'Eingabe und Diagramm'!C24)</f>
        <v/>
      </c>
      <c r="D24" s="20"/>
      <c r="E24" s="18">
        <v>70</v>
      </c>
      <c r="F24" s="21" t="str">
        <f>IF('Eingabe und Diagramm'!F24="","",'Eingabe und Diagramm'!F24)</f>
        <v/>
      </c>
      <c r="G24" s="22"/>
      <c r="H24" s="23">
        <v>120</v>
      </c>
      <c r="I24" s="21" t="str">
        <f>IF('Eingabe und Diagramm'!I24="","",'Eingabe und Diagramm'!I24)</f>
        <v/>
      </c>
      <c r="J24" s="22"/>
      <c r="K24" s="23">
        <v>170</v>
      </c>
      <c r="L24" s="21" t="str">
        <f>IF('Eingabe und Diagramm'!L24="","",'Eingabe und Diagramm'!L24)</f>
        <v/>
      </c>
      <c r="N24" s="50"/>
      <c r="O24" s="56"/>
      <c r="P24" s="56"/>
      <c r="S24" s="132" t="s">
        <v>133</v>
      </c>
      <c r="T24" s="133" t="s">
        <v>140</v>
      </c>
      <c r="AA24" s="2"/>
      <c r="AB24" s="2"/>
      <c r="AC24" s="2"/>
      <c r="AD24" s="43">
        <v>20</v>
      </c>
      <c r="AE24" s="43">
        <f t="shared" si="0"/>
        <v>0</v>
      </c>
      <c r="AF24" s="43" t="str">
        <f t="shared" si="8"/>
        <v>OGW</v>
      </c>
      <c r="AG24" s="43" t="str">
        <f t="shared" si="6"/>
        <v>OGW</v>
      </c>
      <c r="AH24" s="43" t="e">
        <f t="shared" si="9"/>
        <v>#DIV/0!</v>
      </c>
      <c r="AI24" s="49" t="e">
        <f t="shared" si="20"/>
        <v>#DIV/0!</v>
      </c>
      <c r="AJ24" s="49" t="e">
        <f t="shared" si="20"/>
        <v>#DIV/0!</v>
      </c>
      <c r="AK24" s="49" t="e">
        <f t="shared" si="20"/>
        <v>#DIV/0!</v>
      </c>
      <c r="AL24" s="49" t="e">
        <f t="shared" si="20"/>
        <v>#DIV/0!</v>
      </c>
      <c r="AM24" s="49" t="e">
        <f t="shared" si="20"/>
        <v>#DIV/0!</v>
      </c>
      <c r="AN24" s="49" t="e">
        <f t="shared" si="20"/>
        <v>#DIV/0!</v>
      </c>
      <c r="AO24" s="49" t="e">
        <f t="shared" si="20"/>
        <v>#DIV/0!</v>
      </c>
      <c r="AP24" s="43"/>
      <c r="AQ24" s="43">
        <f t="shared" si="1"/>
        <v>0</v>
      </c>
      <c r="AR24" s="43">
        <f t="shared" si="2"/>
        <v>0</v>
      </c>
      <c r="AV24" s="48">
        <f>AV5</f>
        <v>-6</v>
      </c>
      <c r="AW24" s="47" t="e">
        <f>AW5</f>
        <v>#DIV/0!</v>
      </c>
      <c r="AX24" s="48"/>
      <c r="BB24" s="24">
        <v>17</v>
      </c>
      <c r="BC24" s="41">
        <f t="shared" si="13"/>
        <v>0</v>
      </c>
      <c r="BD24" s="26">
        <f t="shared" si="10"/>
        <v>-1.0000000000000001E-5</v>
      </c>
      <c r="BE24" s="27">
        <f t="shared" si="14"/>
        <v>-5.0000000000000004E-6</v>
      </c>
      <c r="BF24" s="28">
        <f t="shared" si="15"/>
        <v>-1.0000000000000001E-5</v>
      </c>
      <c r="BG24" s="29">
        <f t="shared" si="16"/>
        <v>0</v>
      </c>
      <c r="BH24" s="30" t="e">
        <f t="shared" si="11"/>
        <v>#DIV/0!</v>
      </c>
      <c r="BI24" s="31">
        <f t="shared" si="19"/>
        <v>0</v>
      </c>
      <c r="BJ24" s="30" t="e">
        <f t="shared" si="12"/>
        <v>#DIV/0!</v>
      </c>
      <c r="BK24" s="32" t="e">
        <f t="shared" si="17"/>
        <v>#DIV/0!</v>
      </c>
      <c r="BM24" s="43" t="e">
        <f t="shared" si="18"/>
        <v>#DIV/0!</v>
      </c>
    </row>
    <row r="25" spans="2:65" s="4" customFormat="1" ht="24.95" customHeight="1" x14ac:dyDescent="0.3">
      <c r="B25" s="18">
        <v>21</v>
      </c>
      <c r="C25" s="21" t="str">
        <f>IF('Eingabe und Diagramm'!C25="","",'Eingabe und Diagramm'!C25)</f>
        <v/>
      </c>
      <c r="D25" s="20"/>
      <c r="E25" s="18">
        <v>71</v>
      </c>
      <c r="F25" s="21" t="str">
        <f>IF('Eingabe und Diagramm'!F25="","",'Eingabe und Diagramm'!F25)</f>
        <v/>
      </c>
      <c r="G25" s="22"/>
      <c r="H25" s="23">
        <v>121</v>
      </c>
      <c r="I25" s="21" t="str">
        <f>IF('Eingabe und Diagramm'!I25="","",'Eingabe und Diagramm'!I25)</f>
        <v/>
      </c>
      <c r="J25" s="22"/>
      <c r="K25" s="23">
        <v>171</v>
      </c>
      <c r="L25" s="21" t="str">
        <f>IF('Eingabe und Diagramm'!L25="","",'Eingabe und Diagramm'!L25)</f>
        <v/>
      </c>
      <c r="N25" s="50"/>
      <c r="O25" s="50"/>
      <c r="P25" s="51" t="s">
        <v>70</v>
      </c>
      <c r="S25" s="132" t="s">
        <v>134</v>
      </c>
      <c r="T25" s="133" t="s">
        <v>140</v>
      </c>
      <c r="AA25" s="2"/>
      <c r="AB25" s="2"/>
      <c r="AC25" s="2"/>
      <c r="AD25" s="43">
        <v>21</v>
      </c>
      <c r="AE25" s="43">
        <f t="shared" si="0"/>
        <v>0</v>
      </c>
      <c r="AF25" s="43" t="str">
        <f t="shared" si="8"/>
        <v>OGW</v>
      </c>
      <c r="AG25" s="43" t="str">
        <f t="shared" si="6"/>
        <v>OGW</v>
      </c>
      <c r="AH25" s="43" t="e">
        <f t="shared" si="9"/>
        <v>#DIV/0!</v>
      </c>
      <c r="AI25" s="49" t="e">
        <f t="shared" si="20"/>
        <v>#DIV/0!</v>
      </c>
      <c r="AJ25" s="49" t="e">
        <f t="shared" si="20"/>
        <v>#DIV/0!</v>
      </c>
      <c r="AK25" s="49" t="e">
        <f t="shared" si="20"/>
        <v>#DIV/0!</v>
      </c>
      <c r="AL25" s="49" t="e">
        <f t="shared" si="20"/>
        <v>#DIV/0!</v>
      </c>
      <c r="AM25" s="49" t="e">
        <f t="shared" si="20"/>
        <v>#DIV/0!</v>
      </c>
      <c r="AN25" s="49" t="e">
        <f t="shared" si="20"/>
        <v>#DIV/0!</v>
      </c>
      <c r="AO25" s="49" t="e">
        <f t="shared" si="20"/>
        <v>#DIV/0!</v>
      </c>
      <c r="AP25" s="43"/>
      <c r="AQ25" s="43">
        <f t="shared" si="1"/>
        <v>0</v>
      </c>
      <c r="AR25" s="43">
        <f t="shared" si="2"/>
        <v>0</v>
      </c>
      <c r="AV25" s="48">
        <f>AV14</f>
        <v>6</v>
      </c>
      <c r="AW25" s="47" t="e">
        <f>AW14</f>
        <v>#DIV/0!</v>
      </c>
      <c r="AX25" s="48"/>
      <c r="BB25" s="24">
        <v>18</v>
      </c>
      <c r="BC25" s="41">
        <f t="shared" si="13"/>
        <v>0</v>
      </c>
      <c r="BD25" s="26">
        <f t="shared" si="10"/>
        <v>-1.0000000000000001E-5</v>
      </c>
      <c r="BE25" s="27">
        <f t="shared" si="14"/>
        <v>-5.0000000000000004E-6</v>
      </c>
      <c r="BF25" s="28">
        <f t="shared" si="15"/>
        <v>-1.0000000000000001E-5</v>
      </c>
      <c r="BG25" s="29">
        <f t="shared" si="16"/>
        <v>0</v>
      </c>
      <c r="BH25" s="30" t="e">
        <f t="shared" si="11"/>
        <v>#DIV/0!</v>
      </c>
      <c r="BI25" s="31">
        <f t="shared" si="19"/>
        <v>0</v>
      </c>
      <c r="BJ25" s="30" t="e">
        <f t="shared" si="12"/>
        <v>#DIV/0!</v>
      </c>
      <c r="BK25" s="32" t="e">
        <f t="shared" si="17"/>
        <v>#DIV/0!</v>
      </c>
      <c r="BM25" s="43" t="e">
        <f t="shared" si="18"/>
        <v>#DIV/0!</v>
      </c>
    </row>
    <row r="26" spans="2:65" s="4" customFormat="1" ht="24.95" customHeight="1" x14ac:dyDescent="0.3">
      <c r="B26" s="18">
        <v>22</v>
      </c>
      <c r="C26" s="21" t="str">
        <f>IF('Eingabe und Diagramm'!C26="","",'Eingabe und Diagramm'!C26)</f>
        <v/>
      </c>
      <c r="D26" s="20"/>
      <c r="E26" s="18">
        <v>72</v>
      </c>
      <c r="F26" s="21" t="str">
        <f>IF('Eingabe und Diagramm'!F26="","",'Eingabe und Diagramm'!F26)</f>
        <v/>
      </c>
      <c r="G26" s="22"/>
      <c r="H26" s="23">
        <v>122</v>
      </c>
      <c r="I26" s="21" t="str">
        <f>IF('Eingabe und Diagramm'!I26="","",'Eingabe und Diagramm'!I26)</f>
        <v/>
      </c>
      <c r="J26" s="22"/>
      <c r="K26" s="23">
        <v>172</v>
      </c>
      <c r="L26" s="21" t="str">
        <f>IF('Eingabe und Diagramm'!L26="","",'Eingabe und Diagramm'!L26)</f>
        <v/>
      </c>
      <c r="N26" s="51" t="s">
        <v>71</v>
      </c>
      <c r="O26" s="51" t="s">
        <v>86</v>
      </c>
      <c r="P26" s="55" t="e">
        <f>(P22-P18)/(3*P23)</f>
        <v>#DIV/0!</v>
      </c>
      <c r="S26" s="132" t="s">
        <v>135</v>
      </c>
      <c r="T26" s="133" t="s">
        <v>140</v>
      </c>
      <c r="AA26" s="2"/>
      <c r="AB26" s="2"/>
      <c r="AC26" s="2"/>
      <c r="AD26" s="43">
        <v>22</v>
      </c>
      <c r="AE26" s="43">
        <f t="shared" si="0"/>
        <v>0</v>
      </c>
      <c r="AF26" s="43" t="str">
        <f t="shared" si="8"/>
        <v>OGW</v>
      </c>
      <c r="AG26" s="43" t="str">
        <f t="shared" si="6"/>
        <v>OGW</v>
      </c>
      <c r="AH26" s="43" t="e">
        <f t="shared" si="9"/>
        <v>#DIV/0!</v>
      </c>
      <c r="AI26" s="49" t="e">
        <f t="shared" si="20"/>
        <v>#DIV/0!</v>
      </c>
      <c r="AJ26" s="49" t="e">
        <f t="shared" si="20"/>
        <v>#DIV/0!</v>
      </c>
      <c r="AK26" s="49" t="e">
        <f t="shared" si="20"/>
        <v>#DIV/0!</v>
      </c>
      <c r="AL26" s="49" t="e">
        <f t="shared" si="20"/>
        <v>#DIV/0!</v>
      </c>
      <c r="AM26" s="49" t="e">
        <f t="shared" si="20"/>
        <v>#DIV/0!</v>
      </c>
      <c r="AN26" s="49" t="e">
        <f t="shared" si="20"/>
        <v>#DIV/0!</v>
      </c>
      <c r="AO26" s="49" t="e">
        <f t="shared" si="20"/>
        <v>#DIV/0!</v>
      </c>
      <c r="AP26" s="43"/>
      <c r="AQ26" s="43">
        <f t="shared" si="1"/>
        <v>0</v>
      </c>
      <c r="AR26" s="43">
        <f t="shared" si="2"/>
        <v>0</v>
      </c>
      <c r="BB26" s="24">
        <v>19</v>
      </c>
      <c r="BC26" s="41">
        <f t="shared" si="13"/>
        <v>0</v>
      </c>
      <c r="BD26" s="26">
        <f t="shared" si="10"/>
        <v>-1.0000000000000001E-5</v>
      </c>
      <c r="BE26" s="27">
        <f t="shared" si="14"/>
        <v>-5.0000000000000004E-6</v>
      </c>
      <c r="BF26" s="28">
        <f t="shared" si="15"/>
        <v>-1.0000000000000001E-5</v>
      </c>
      <c r="BG26" s="29">
        <f t="shared" si="16"/>
        <v>0</v>
      </c>
      <c r="BH26" s="30" t="e">
        <f t="shared" si="11"/>
        <v>#DIV/0!</v>
      </c>
      <c r="BI26" s="31">
        <f t="shared" si="19"/>
        <v>0</v>
      </c>
      <c r="BJ26" s="30" t="e">
        <f t="shared" si="12"/>
        <v>#DIV/0!</v>
      </c>
      <c r="BK26" s="32" t="e">
        <f t="shared" si="17"/>
        <v>#DIV/0!</v>
      </c>
      <c r="BM26" s="43" t="e">
        <f t="shared" si="18"/>
        <v>#DIV/0!</v>
      </c>
    </row>
    <row r="27" spans="2:65" s="4" customFormat="1" ht="24.95" customHeight="1" x14ac:dyDescent="0.3">
      <c r="B27" s="18">
        <v>23</v>
      </c>
      <c r="C27" s="21" t="str">
        <f>IF('Eingabe und Diagramm'!C27="","",'Eingabe und Diagramm'!C27)</f>
        <v/>
      </c>
      <c r="D27" s="20"/>
      <c r="E27" s="18">
        <v>73</v>
      </c>
      <c r="F27" s="21" t="str">
        <f>IF('Eingabe und Diagramm'!F27="","",'Eingabe und Diagramm'!F27)</f>
        <v/>
      </c>
      <c r="G27" s="22"/>
      <c r="H27" s="23">
        <v>123</v>
      </c>
      <c r="I27" s="21" t="str">
        <f>IF('Eingabe und Diagramm'!I27="","",'Eingabe und Diagramm'!I27)</f>
        <v/>
      </c>
      <c r="J27" s="22"/>
      <c r="K27" s="23">
        <v>173</v>
      </c>
      <c r="L27" s="21" t="str">
        <f>IF('Eingabe und Diagramm'!L27="","",'Eingabe und Diagramm'!L27)</f>
        <v/>
      </c>
      <c r="N27" s="51" t="s">
        <v>72</v>
      </c>
      <c r="O27" s="51" t="s">
        <v>87</v>
      </c>
      <c r="P27" s="55" t="e">
        <f>(P19-P22)/(3*P23)</f>
        <v>#DIV/0!</v>
      </c>
      <c r="S27" s="132" t="s">
        <v>136</v>
      </c>
      <c r="T27" s="133" t="s">
        <v>140</v>
      </c>
      <c r="AA27" s="2"/>
      <c r="AB27" s="2"/>
      <c r="AC27" s="2"/>
      <c r="AD27" s="43">
        <v>23</v>
      </c>
      <c r="AE27" s="43">
        <f t="shared" si="0"/>
        <v>0</v>
      </c>
      <c r="AF27" s="43" t="str">
        <f t="shared" si="8"/>
        <v>OGW</v>
      </c>
      <c r="AG27" s="43" t="str">
        <f t="shared" si="6"/>
        <v>OGW</v>
      </c>
      <c r="AH27" s="43" t="e">
        <f t="shared" si="9"/>
        <v>#DIV/0!</v>
      </c>
      <c r="AI27" s="49" t="e">
        <f t="shared" si="20"/>
        <v>#DIV/0!</v>
      </c>
      <c r="AJ27" s="49" t="e">
        <f t="shared" si="20"/>
        <v>#DIV/0!</v>
      </c>
      <c r="AK27" s="49" t="e">
        <f t="shared" si="20"/>
        <v>#DIV/0!</v>
      </c>
      <c r="AL27" s="49" t="e">
        <f t="shared" si="20"/>
        <v>#DIV/0!</v>
      </c>
      <c r="AM27" s="49" t="e">
        <f t="shared" si="20"/>
        <v>#DIV/0!</v>
      </c>
      <c r="AN27" s="49" t="e">
        <f t="shared" si="20"/>
        <v>#DIV/0!</v>
      </c>
      <c r="AO27" s="49" t="e">
        <f t="shared" si="20"/>
        <v>#DIV/0!</v>
      </c>
      <c r="AP27" s="43"/>
      <c r="AQ27" s="43">
        <f t="shared" si="1"/>
        <v>0</v>
      </c>
      <c r="AR27" s="43">
        <f t="shared" si="2"/>
        <v>0</v>
      </c>
      <c r="BB27" s="24">
        <v>20</v>
      </c>
      <c r="BC27" s="41">
        <f t="shared" si="13"/>
        <v>0</v>
      </c>
      <c r="BD27" s="26">
        <f t="shared" si="10"/>
        <v>-1.0000000000000001E-5</v>
      </c>
      <c r="BE27" s="27">
        <f t="shared" si="14"/>
        <v>-5.0000000000000004E-6</v>
      </c>
      <c r="BF27" s="28">
        <f t="shared" si="15"/>
        <v>-1.0000000000000001E-5</v>
      </c>
      <c r="BG27" s="29">
        <f t="shared" si="16"/>
        <v>0</v>
      </c>
      <c r="BH27" s="30" t="e">
        <f t="shared" si="11"/>
        <v>#DIV/0!</v>
      </c>
      <c r="BI27" s="31">
        <f t="shared" si="19"/>
        <v>0</v>
      </c>
      <c r="BJ27" s="30" t="e">
        <f t="shared" si="12"/>
        <v>#DIV/0!</v>
      </c>
      <c r="BK27" s="32" t="e">
        <f t="shared" si="17"/>
        <v>#DIV/0!</v>
      </c>
      <c r="BM27" s="43" t="e">
        <f t="shared" si="18"/>
        <v>#DIV/0!</v>
      </c>
    </row>
    <row r="28" spans="2:65" s="4" customFormat="1" ht="24.95" customHeight="1" x14ac:dyDescent="0.3">
      <c r="B28" s="18">
        <v>24</v>
      </c>
      <c r="C28" s="21" t="str">
        <f>IF('Eingabe und Diagramm'!C28="","",'Eingabe und Diagramm'!C28)</f>
        <v/>
      </c>
      <c r="D28" s="20"/>
      <c r="E28" s="18">
        <v>74</v>
      </c>
      <c r="F28" s="21" t="str">
        <f>IF('Eingabe und Diagramm'!F28="","",'Eingabe und Diagramm'!F28)</f>
        <v/>
      </c>
      <c r="G28" s="22"/>
      <c r="H28" s="23">
        <v>124</v>
      </c>
      <c r="I28" s="21" t="str">
        <f>IF('Eingabe und Diagramm'!I28="","",'Eingabe und Diagramm'!I28)</f>
        <v/>
      </c>
      <c r="J28" s="22"/>
      <c r="K28" s="23">
        <v>174</v>
      </c>
      <c r="L28" s="21" t="str">
        <f>IF('Eingabe und Diagramm'!L28="","",'Eingabe und Diagramm'!L28)</f>
        <v/>
      </c>
      <c r="N28" s="51" t="s">
        <v>73</v>
      </c>
      <c r="O28" s="51" t="s">
        <v>88</v>
      </c>
      <c r="P28" s="55" t="e">
        <f>(P19-P18)/(6*P23)</f>
        <v>#DIV/0!</v>
      </c>
      <c r="S28" s="132" t="s">
        <v>137</v>
      </c>
      <c r="T28" s="133" t="s">
        <v>140</v>
      </c>
      <c r="AA28" s="2"/>
      <c r="AB28" s="2"/>
      <c r="AC28" s="2"/>
      <c r="AD28" s="43">
        <v>24</v>
      </c>
      <c r="AE28" s="43">
        <f t="shared" si="0"/>
        <v>0</v>
      </c>
      <c r="AF28" s="43" t="str">
        <f t="shared" si="8"/>
        <v>OGW</v>
      </c>
      <c r="AG28" s="43" t="str">
        <f t="shared" si="6"/>
        <v>OGW</v>
      </c>
      <c r="AH28" s="43" t="e">
        <f t="shared" si="9"/>
        <v>#DIV/0!</v>
      </c>
      <c r="AI28" s="49" t="e">
        <f t="shared" si="20"/>
        <v>#DIV/0!</v>
      </c>
      <c r="AJ28" s="49" t="e">
        <f t="shared" si="20"/>
        <v>#DIV/0!</v>
      </c>
      <c r="AK28" s="49" t="e">
        <f t="shared" si="20"/>
        <v>#DIV/0!</v>
      </c>
      <c r="AL28" s="49" t="e">
        <f t="shared" si="20"/>
        <v>#DIV/0!</v>
      </c>
      <c r="AM28" s="49" t="e">
        <f t="shared" si="20"/>
        <v>#DIV/0!</v>
      </c>
      <c r="AN28" s="49" t="e">
        <f t="shared" si="20"/>
        <v>#DIV/0!</v>
      </c>
      <c r="AO28" s="49" t="e">
        <f t="shared" si="20"/>
        <v>#DIV/0!</v>
      </c>
      <c r="AP28" s="43"/>
      <c r="AQ28" s="43">
        <f t="shared" si="1"/>
        <v>0</v>
      </c>
      <c r="AR28" s="43">
        <f t="shared" si="2"/>
        <v>0</v>
      </c>
      <c r="BB28" s="24">
        <v>21</v>
      </c>
      <c r="BC28" s="41">
        <f t="shared" si="13"/>
        <v>0</v>
      </c>
      <c r="BD28" s="26">
        <f t="shared" si="10"/>
        <v>-1.0000000000000001E-5</v>
      </c>
      <c r="BE28" s="27">
        <f t="shared" si="14"/>
        <v>-5.0000000000000004E-6</v>
      </c>
      <c r="BF28" s="28">
        <f t="shared" si="15"/>
        <v>-1.0000000000000001E-5</v>
      </c>
      <c r="BG28" s="29">
        <f t="shared" si="16"/>
        <v>0</v>
      </c>
      <c r="BH28" s="30" t="e">
        <f t="shared" si="11"/>
        <v>#DIV/0!</v>
      </c>
      <c r="BI28" s="31">
        <f t="shared" si="19"/>
        <v>0</v>
      </c>
      <c r="BJ28" s="30" t="e">
        <f t="shared" si="12"/>
        <v>#DIV/0!</v>
      </c>
      <c r="BK28" s="32" t="e">
        <f t="shared" si="17"/>
        <v>#DIV/0!</v>
      </c>
      <c r="BM28" s="43" t="e">
        <f t="shared" si="18"/>
        <v>#DIV/0!</v>
      </c>
    </row>
    <row r="29" spans="2:65" s="4" customFormat="1" ht="24.95" customHeight="1" x14ac:dyDescent="0.3">
      <c r="B29" s="18">
        <v>25</v>
      </c>
      <c r="C29" s="21" t="str">
        <f>IF('Eingabe und Diagramm'!C29="","",'Eingabe und Diagramm'!C29)</f>
        <v/>
      </c>
      <c r="D29" s="20"/>
      <c r="E29" s="18">
        <v>75</v>
      </c>
      <c r="F29" s="21" t="str">
        <f>IF('Eingabe und Diagramm'!F29="","",'Eingabe und Diagramm'!F29)</f>
        <v/>
      </c>
      <c r="G29" s="22"/>
      <c r="H29" s="23">
        <v>125</v>
      </c>
      <c r="I29" s="21" t="str">
        <f>IF('Eingabe und Diagramm'!I29="","",'Eingabe und Diagramm'!I29)</f>
        <v/>
      </c>
      <c r="J29" s="22"/>
      <c r="K29" s="23">
        <v>175</v>
      </c>
      <c r="L29" s="21" t="str">
        <f>IF('Eingabe und Diagramm'!L29="","",'Eingabe und Diagramm'!L29)</f>
        <v/>
      </c>
      <c r="N29" s="51" t="s">
        <v>74</v>
      </c>
      <c r="O29" s="51" t="s">
        <v>89</v>
      </c>
      <c r="P29" s="55" t="e">
        <f>MIN(P27,P26)</f>
        <v>#DIV/0!</v>
      </c>
      <c r="S29" s="132" t="s">
        <v>138</v>
      </c>
      <c r="T29" s="133" t="s">
        <v>140</v>
      </c>
      <c r="AA29" s="2"/>
      <c r="AB29" s="2"/>
      <c r="AC29" s="2"/>
      <c r="AD29" s="43">
        <v>25</v>
      </c>
      <c r="AE29" s="43">
        <f t="shared" si="0"/>
        <v>0</v>
      </c>
      <c r="AF29" s="43" t="str">
        <f t="shared" si="8"/>
        <v>OGW</v>
      </c>
      <c r="AG29" s="43" t="str">
        <f t="shared" si="6"/>
        <v>OGW</v>
      </c>
      <c r="AH29" s="43" t="e">
        <f t="shared" si="9"/>
        <v>#DIV/0!</v>
      </c>
      <c r="AI29" s="49" t="e">
        <f t="shared" si="20"/>
        <v>#DIV/0!</v>
      </c>
      <c r="AJ29" s="49" t="e">
        <f t="shared" si="20"/>
        <v>#DIV/0!</v>
      </c>
      <c r="AK29" s="49" t="e">
        <f t="shared" si="20"/>
        <v>#DIV/0!</v>
      </c>
      <c r="AL29" s="49" t="e">
        <f t="shared" si="20"/>
        <v>#DIV/0!</v>
      </c>
      <c r="AM29" s="49" t="e">
        <f t="shared" si="20"/>
        <v>#DIV/0!</v>
      </c>
      <c r="AN29" s="49" t="e">
        <f t="shared" si="20"/>
        <v>#DIV/0!</v>
      </c>
      <c r="AO29" s="49" t="e">
        <f t="shared" si="20"/>
        <v>#DIV/0!</v>
      </c>
      <c r="AP29" s="43"/>
      <c r="AQ29" s="43">
        <f t="shared" si="1"/>
        <v>0</v>
      </c>
      <c r="AR29" s="43">
        <f t="shared" si="2"/>
        <v>0</v>
      </c>
      <c r="BB29" s="24">
        <v>22</v>
      </c>
      <c r="BC29" s="41">
        <f t="shared" si="13"/>
        <v>0</v>
      </c>
      <c r="BD29" s="26">
        <f t="shared" si="10"/>
        <v>-1.0000000000000001E-5</v>
      </c>
      <c r="BE29" s="27">
        <f t="shared" si="14"/>
        <v>-5.0000000000000004E-6</v>
      </c>
      <c r="BF29" s="28">
        <f t="shared" si="15"/>
        <v>-1.0000000000000001E-5</v>
      </c>
      <c r="BG29" s="29">
        <f t="shared" si="16"/>
        <v>0</v>
      </c>
      <c r="BH29" s="30" t="e">
        <f t="shared" si="11"/>
        <v>#DIV/0!</v>
      </c>
      <c r="BI29" s="31">
        <f t="shared" si="19"/>
        <v>0</v>
      </c>
      <c r="BJ29" s="30" t="e">
        <f t="shared" si="12"/>
        <v>#DIV/0!</v>
      </c>
      <c r="BK29" s="32" t="e">
        <f t="shared" si="17"/>
        <v>#DIV/0!</v>
      </c>
      <c r="BM29" s="43" t="e">
        <f t="shared" si="18"/>
        <v>#DIV/0!</v>
      </c>
    </row>
    <row r="30" spans="2:65" s="4" customFormat="1" ht="24.95" customHeight="1" x14ac:dyDescent="0.3">
      <c r="B30" s="18">
        <v>26</v>
      </c>
      <c r="C30" s="21" t="str">
        <f>IF('Eingabe und Diagramm'!C30="","",'Eingabe und Diagramm'!C30)</f>
        <v/>
      </c>
      <c r="D30" s="20"/>
      <c r="E30" s="18">
        <v>76</v>
      </c>
      <c r="F30" s="21" t="str">
        <f>IF('Eingabe und Diagramm'!F30="","",'Eingabe und Diagramm'!F30)</f>
        <v/>
      </c>
      <c r="G30" s="22"/>
      <c r="H30" s="23">
        <v>126</v>
      </c>
      <c r="I30" s="21" t="str">
        <f>IF('Eingabe und Diagramm'!I30="","",'Eingabe und Diagramm'!I30)</f>
        <v/>
      </c>
      <c r="J30" s="22"/>
      <c r="K30" s="23">
        <v>176</v>
      </c>
      <c r="L30" s="21" t="str">
        <f>IF('Eingabe und Diagramm'!L30="","",'Eingabe und Diagramm'!L30)</f>
        <v/>
      </c>
      <c r="N30" s="56"/>
      <c r="O30" s="56"/>
      <c r="P30" s="56"/>
      <c r="S30" s="169" t="s">
        <v>166</v>
      </c>
      <c r="T30" s="170" t="s">
        <v>140</v>
      </c>
      <c r="AA30" s="2"/>
      <c r="AB30" s="2"/>
      <c r="AC30" s="2"/>
      <c r="AD30" s="43">
        <v>26</v>
      </c>
      <c r="AE30" s="43">
        <f t="shared" si="0"/>
        <v>0</v>
      </c>
      <c r="AF30" s="43" t="str">
        <f t="shared" si="8"/>
        <v>OGW</v>
      </c>
      <c r="AG30" s="43" t="str">
        <f t="shared" si="6"/>
        <v>OGW</v>
      </c>
      <c r="AH30" s="43" t="e">
        <f t="shared" si="9"/>
        <v>#DIV/0!</v>
      </c>
      <c r="AI30" s="49" t="e">
        <f t="shared" si="20"/>
        <v>#DIV/0!</v>
      </c>
      <c r="AJ30" s="49" t="e">
        <f t="shared" si="20"/>
        <v>#DIV/0!</v>
      </c>
      <c r="AK30" s="49" t="e">
        <f t="shared" si="20"/>
        <v>#DIV/0!</v>
      </c>
      <c r="AL30" s="49" t="e">
        <f t="shared" si="20"/>
        <v>#DIV/0!</v>
      </c>
      <c r="AM30" s="49" t="e">
        <f t="shared" si="20"/>
        <v>#DIV/0!</v>
      </c>
      <c r="AN30" s="49" t="e">
        <f t="shared" si="20"/>
        <v>#DIV/0!</v>
      </c>
      <c r="AO30" s="49" t="e">
        <f t="shared" si="20"/>
        <v>#DIV/0!</v>
      </c>
      <c r="AP30" s="43"/>
      <c r="AQ30" s="43">
        <f t="shared" si="1"/>
        <v>0</v>
      </c>
      <c r="AR30" s="43">
        <f t="shared" si="2"/>
        <v>0</v>
      </c>
      <c r="BB30" s="24">
        <v>23</v>
      </c>
      <c r="BC30" s="41">
        <f t="shared" si="13"/>
        <v>0</v>
      </c>
      <c r="BD30" s="26">
        <f t="shared" si="10"/>
        <v>-1.0000000000000001E-5</v>
      </c>
      <c r="BE30" s="27">
        <f t="shared" si="14"/>
        <v>-5.0000000000000004E-6</v>
      </c>
      <c r="BF30" s="28">
        <f t="shared" si="15"/>
        <v>-1.0000000000000001E-5</v>
      </c>
      <c r="BG30" s="29">
        <f t="shared" si="16"/>
        <v>0</v>
      </c>
      <c r="BH30" s="30" t="e">
        <f t="shared" si="11"/>
        <v>#DIV/0!</v>
      </c>
      <c r="BI30" s="31">
        <f t="shared" si="19"/>
        <v>0</v>
      </c>
      <c r="BJ30" s="30" t="e">
        <f t="shared" si="12"/>
        <v>#DIV/0!</v>
      </c>
      <c r="BK30" s="32" t="e">
        <f t="shared" si="17"/>
        <v>#DIV/0!</v>
      </c>
      <c r="BM30" s="43" t="e">
        <f t="shared" si="18"/>
        <v>#DIV/0!</v>
      </c>
    </row>
    <row r="31" spans="2:65" s="4" customFormat="1" ht="24.95" customHeight="1" x14ac:dyDescent="0.3">
      <c r="B31" s="18">
        <v>27</v>
      </c>
      <c r="C31" s="21" t="str">
        <f>IF('Eingabe und Diagramm'!C31="","",'Eingabe und Diagramm'!C31)</f>
        <v/>
      </c>
      <c r="D31" s="20"/>
      <c r="E31" s="18">
        <v>77</v>
      </c>
      <c r="F31" s="21" t="str">
        <f>IF('Eingabe und Diagramm'!F31="","",'Eingabe und Diagramm'!F31)</f>
        <v/>
      </c>
      <c r="G31" s="22"/>
      <c r="H31" s="23">
        <v>127</v>
      </c>
      <c r="I31" s="21" t="str">
        <f>IF('Eingabe und Diagramm'!I31="","",'Eingabe und Diagramm'!I31)</f>
        <v/>
      </c>
      <c r="J31" s="22"/>
      <c r="K31" s="23">
        <v>177</v>
      </c>
      <c r="L31" s="21" t="str">
        <f>IF('Eingabe und Diagramm'!L31="","",'Eingabe und Diagramm'!L31)</f>
        <v/>
      </c>
      <c r="N31" s="50"/>
      <c r="O31" s="51" t="s">
        <v>65</v>
      </c>
      <c r="P31" s="55" t="e">
        <f>MEDIAN(C5:C204)</f>
        <v>#NUM!</v>
      </c>
      <c r="S31" s="164"/>
      <c r="T31" s="165"/>
      <c r="AA31" s="2"/>
      <c r="AB31" s="2"/>
      <c r="AC31" s="2"/>
      <c r="AD31" s="43">
        <v>27</v>
      </c>
      <c r="AE31" s="43">
        <f t="shared" si="0"/>
        <v>0</v>
      </c>
      <c r="AF31" s="43" t="str">
        <f t="shared" si="8"/>
        <v>OGW</v>
      </c>
      <c r="AG31" s="43" t="str">
        <f t="shared" si="6"/>
        <v>OGW</v>
      </c>
      <c r="AH31" s="43" t="e">
        <f t="shared" si="9"/>
        <v>#DIV/0!</v>
      </c>
      <c r="AI31" s="49" t="e">
        <f t="shared" si="20"/>
        <v>#DIV/0!</v>
      </c>
      <c r="AJ31" s="49" t="e">
        <f t="shared" si="20"/>
        <v>#DIV/0!</v>
      </c>
      <c r="AK31" s="49" t="e">
        <f t="shared" si="20"/>
        <v>#DIV/0!</v>
      </c>
      <c r="AL31" s="49" t="e">
        <f t="shared" si="20"/>
        <v>#DIV/0!</v>
      </c>
      <c r="AM31" s="49" t="e">
        <f t="shared" si="20"/>
        <v>#DIV/0!</v>
      </c>
      <c r="AN31" s="49" t="e">
        <f t="shared" si="20"/>
        <v>#DIV/0!</v>
      </c>
      <c r="AO31" s="49" t="e">
        <f t="shared" si="20"/>
        <v>#DIV/0!</v>
      </c>
      <c r="AP31" s="43"/>
      <c r="AQ31" s="43">
        <f t="shared" si="1"/>
        <v>0</v>
      </c>
      <c r="AR31" s="43">
        <f t="shared" si="2"/>
        <v>0</v>
      </c>
      <c r="BB31" s="24">
        <v>24</v>
      </c>
      <c r="BC31" s="41">
        <f t="shared" si="13"/>
        <v>0</v>
      </c>
      <c r="BD31" s="26">
        <f t="shared" si="10"/>
        <v>-1.0000000000000001E-5</v>
      </c>
      <c r="BE31" s="27">
        <f t="shared" si="14"/>
        <v>-5.0000000000000004E-6</v>
      </c>
      <c r="BF31" s="28">
        <f t="shared" si="15"/>
        <v>-1.0000000000000001E-5</v>
      </c>
      <c r="BG31" s="29">
        <f t="shared" si="16"/>
        <v>0</v>
      </c>
      <c r="BH31" s="30" t="e">
        <f t="shared" si="11"/>
        <v>#DIV/0!</v>
      </c>
      <c r="BI31" s="31">
        <f t="shared" si="19"/>
        <v>0</v>
      </c>
      <c r="BJ31" s="30" t="e">
        <f t="shared" si="12"/>
        <v>#DIV/0!</v>
      </c>
      <c r="BK31" s="32" t="e">
        <f t="shared" si="17"/>
        <v>#DIV/0!</v>
      </c>
      <c r="BM31" s="43" t="e">
        <f t="shared" si="18"/>
        <v>#DIV/0!</v>
      </c>
    </row>
    <row r="32" spans="2:65" s="4" customFormat="1" ht="24.95" customHeight="1" x14ac:dyDescent="0.3">
      <c r="B32" s="18">
        <v>28</v>
      </c>
      <c r="C32" s="21" t="str">
        <f>IF('Eingabe und Diagramm'!C32="","",'Eingabe und Diagramm'!C32)</f>
        <v/>
      </c>
      <c r="D32" s="20"/>
      <c r="E32" s="18">
        <v>78</v>
      </c>
      <c r="F32" s="21" t="str">
        <f>IF('Eingabe und Diagramm'!F32="","",'Eingabe und Diagramm'!F32)</f>
        <v/>
      </c>
      <c r="G32" s="22"/>
      <c r="H32" s="23">
        <v>128</v>
      </c>
      <c r="I32" s="21" t="str">
        <f>IF('Eingabe und Diagramm'!I32="","",'Eingabe und Diagramm'!I32)</f>
        <v/>
      </c>
      <c r="J32" s="22"/>
      <c r="K32" s="23">
        <v>178</v>
      </c>
      <c r="L32" s="21" t="str">
        <f>IF('Eingabe und Diagramm'!L32="","",'Eingabe und Diagramm'!L32)</f>
        <v/>
      </c>
      <c r="N32" s="50"/>
      <c r="O32" s="51" t="s">
        <v>66</v>
      </c>
      <c r="P32" s="55">
        <f>(MAX(C5:C204)-MIN(C5:C204))</f>
        <v>0</v>
      </c>
      <c r="S32" s="164"/>
      <c r="T32" s="165"/>
      <c r="AA32" s="2"/>
      <c r="AB32" s="2"/>
      <c r="AC32" s="2"/>
      <c r="AD32" s="43">
        <v>28</v>
      </c>
      <c r="AE32" s="43">
        <f t="shared" si="0"/>
        <v>0</v>
      </c>
      <c r="AF32" s="43" t="str">
        <f t="shared" si="8"/>
        <v>OGW</v>
      </c>
      <c r="AG32" s="43" t="str">
        <f t="shared" si="6"/>
        <v>OGW</v>
      </c>
      <c r="AH32" s="43" t="e">
        <f t="shared" si="9"/>
        <v>#DIV/0!</v>
      </c>
      <c r="AI32" s="49" t="e">
        <f t="shared" si="20"/>
        <v>#DIV/0!</v>
      </c>
      <c r="AJ32" s="49" t="e">
        <f t="shared" si="20"/>
        <v>#DIV/0!</v>
      </c>
      <c r="AK32" s="49" t="e">
        <f t="shared" si="20"/>
        <v>#DIV/0!</v>
      </c>
      <c r="AL32" s="49" t="e">
        <f t="shared" si="20"/>
        <v>#DIV/0!</v>
      </c>
      <c r="AM32" s="49" t="e">
        <f t="shared" si="20"/>
        <v>#DIV/0!</v>
      </c>
      <c r="AN32" s="49" t="e">
        <f t="shared" si="20"/>
        <v>#DIV/0!</v>
      </c>
      <c r="AO32" s="49" t="e">
        <f t="shared" si="20"/>
        <v>#DIV/0!</v>
      </c>
      <c r="AP32" s="43"/>
      <c r="AQ32" s="43">
        <f t="shared" si="1"/>
        <v>0</v>
      </c>
      <c r="AR32" s="43">
        <f t="shared" si="2"/>
        <v>0</v>
      </c>
      <c r="BB32" s="24">
        <v>25</v>
      </c>
      <c r="BC32" s="41">
        <f t="shared" si="13"/>
        <v>0</v>
      </c>
      <c r="BD32" s="26">
        <f t="shared" si="10"/>
        <v>-1.0000000000000001E-5</v>
      </c>
      <c r="BE32" s="27">
        <f t="shared" si="14"/>
        <v>-5.0000000000000004E-6</v>
      </c>
      <c r="BF32" s="28">
        <f t="shared" si="15"/>
        <v>-1.0000000000000001E-5</v>
      </c>
      <c r="BG32" s="29">
        <f t="shared" si="16"/>
        <v>0</v>
      </c>
      <c r="BH32" s="30" t="e">
        <f t="shared" si="11"/>
        <v>#DIV/0!</v>
      </c>
      <c r="BI32" s="31">
        <f t="shared" si="19"/>
        <v>0</v>
      </c>
      <c r="BJ32" s="30" t="e">
        <f t="shared" si="12"/>
        <v>#DIV/0!</v>
      </c>
      <c r="BK32" s="32" t="e">
        <f t="shared" si="17"/>
        <v>#DIV/0!</v>
      </c>
      <c r="BM32" s="43" t="e">
        <f t="shared" si="18"/>
        <v>#DIV/0!</v>
      </c>
    </row>
    <row r="33" spans="2:65" s="4" customFormat="1" ht="24.95" customHeight="1" x14ac:dyDescent="0.3">
      <c r="B33" s="18">
        <v>29</v>
      </c>
      <c r="C33" s="21" t="str">
        <f>IF('Eingabe und Diagramm'!C33="","",'Eingabe und Diagramm'!C33)</f>
        <v/>
      </c>
      <c r="D33" s="20"/>
      <c r="E33" s="18">
        <v>79</v>
      </c>
      <c r="F33" s="21" t="str">
        <f>IF('Eingabe und Diagramm'!F33="","",'Eingabe und Diagramm'!F33)</f>
        <v/>
      </c>
      <c r="G33" s="22"/>
      <c r="H33" s="23">
        <v>129</v>
      </c>
      <c r="I33" s="21" t="str">
        <f>IF('Eingabe und Diagramm'!I33="","",'Eingabe und Diagramm'!I33)</f>
        <v/>
      </c>
      <c r="J33" s="22"/>
      <c r="K33" s="23">
        <v>179</v>
      </c>
      <c r="L33" s="21" t="str">
        <f>IF('Eingabe und Diagramm'!L33="","",'Eingabe und Diagramm'!L33)</f>
        <v/>
      </c>
      <c r="N33" s="50"/>
      <c r="O33" s="51" t="s">
        <v>33</v>
      </c>
      <c r="P33" s="55">
        <f>MIN(C5:C204)</f>
        <v>0</v>
      </c>
      <c r="S33" s="164"/>
      <c r="T33" s="165"/>
      <c r="AA33" s="2"/>
      <c r="AB33" s="2"/>
      <c r="AC33" s="2"/>
      <c r="AD33" s="43">
        <v>29</v>
      </c>
      <c r="AE33" s="43">
        <f t="shared" si="0"/>
        <v>0</v>
      </c>
      <c r="AF33" s="43" t="str">
        <f t="shared" si="8"/>
        <v>OGW</v>
      </c>
      <c r="AG33" s="43" t="str">
        <f t="shared" si="6"/>
        <v>OGW</v>
      </c>
      <c r="AH33" s="43" t="e">
        <f t="shared" si="9"/>
        <v>#DIV/0!</v>
      </c>
      <c r="AI33" s="49" t="e">
        <f t="shared" si="20"/>
        <v>#DIV/0!</v>
      </c>
      <c r="AJ33" s="49" t="e">
        <f t="shared" si="20"/>
        <v>#DIV/0!</v>
      </c>
      <c r="AK33" s="49" t="e">
        <f t="shared" si="20"/>
        <v>#DIV/0!</v>
      </c>
      <c r="AL33" s="49" t="e">
        <f t="shared" si="20"/>
        <v>#DIV/0!</v>
      </c>
      <c r="AM33" s="49" t="e">
        <f t="shared" si="20"/>
        <v>#DIV/0!</v>
      </c>
      <c r="AN33" s="49" t="e">
        <f t="shared" si="20"/>
        <v>#DIV/0!</v>
      </c>
      <c r="AO33" s="49" t="e">
        <f t="shared" si="20"/>
        <v>#DIV/0!</v>
      </c>
      <c r="AP33" s="43"/>
      <c r="AQ33" s="43">
        <f t="shared" si="1"/>
        <v>0</v>
      </c>
      <c r="AR33" s="43">
        <f t="shared" si="2"/>
        <v>0</v>
      </c>
      <c r="BB33" s="24">
        <v>26</v>
      </c>
      <c r="BC33" s="41">
        <f t="shared" si="13"/>
        <v>0</v>
      </c>
      <c r="BD33" s="26">
        <f t="shared" si="10"/>
        <v>-1.0000000000000001E-5</v>
      </c>
      <c r="BE33" s="27">
        <f t="shared" si="14"/>
        <v>-5.0000000000000004E-6</v>
      </c>
      <c r="BF33" s="28">
        <f t="shared" si="15"/>
        <v>-1.0000000000000001E-5</v>
      </c>
      <c r="BG33" s="29">
        <f t="shared" si="16"/>
        <v>0</v>
      </c>
      <c r="BH33" s="30" t="e">
        <f t="shared" si="11"/>
        <v>#DIV/0!</v>
      </c>
      <c r="BI33" s="31">
        <f t="shared" si="19"/>
        <v>0</v>
      </c>
      <c r="BJ33" s="30" t="e">
        <f t="shared" si="12"/>
        <v>#DIV/0!</v>
      </c>
      <c r="BK33" s="32" t="e">
        <f t="shared" si="17"/>
        <v>#DIV/0!</v>
      </c>
      <c r="BM33" s="43" t="e">
        <f t="shared" si="18"/>
        <v>#DIV/0!</v>
      </c>
    </row>
    <row r="34" spans="2:65" s="4" customFormat="1" ht="24.95" customHeight="1" x14ac:dyDescent="0.3">
      <c r="B34" s="18">
        <v>30</v>
      </c>
      <c r="C34" s="21" t="str">
        <f>IF('Eingabe und Diagramm'!C34="","",'Eingabe und Diagramm'!C34)</f>
        <v/>
      </c>
      <c r="D34" s="20"/>
      <c r="E34" s="18">
        <v>80</v>
      </c>
      <c r="F34" s="21" t="str">
        <f>IF('Eingabe und Diagramm'!F34="","",'Eingabe und Diagramm'!F34)</f>
        <v/>
      </c>
      <c r="G34" s="22"/>
      <c r="H34" s="23">
        <v>130</v>
      </c>
      <c r="I34" s="21" t="str">
        <f>IF('Eingabe und Diagramm'!I34="","",'Eingabe und Diagramm'!I34)</f>
        <v/>
      </c>
      <c r="J34" s="22"/>
      <c r="K34" s="23">
        <v>180</v>
      </c>
      <c r="L34" s="21" t="str">
        <f>IF('Eingabe und Diagramm'!L34="","",'Eingabe und Diagramm'!L34)</f>
        <v/>
      </c>
      <c r="N34" s="50"/>
      <c r="O34" s="51" t="s">
        <v>34</v>
      </c>
      <c r="P34" s="55">
        <f>MAX(C5:C204)</f>
        <v>0</v>
      </c>
      <c r="S34" s="164"/>
      <c r="T34" s="165"/>
      <c r="AA34" s="2"/>
      <c r="AB34" s="2"/>
      <c r="AC34" s="2"/>
      <c r="AD34" s="43">
        <v>30</v>
      </c>
      <c r="AE34" s="43">
        <f t="shared" si="0"/>
        <v>0</v>
      </c>
      <c r="AF34" s="43" t="str">
        <f t="shared" si="8"/>
        <v>OGW</v>
      </c>
      <c r="AG34" s="43" t="str">
        <f t="shared" si="6"/>
        <v>OGW</v>
      </c>
      <c r="AH34" s="43" t="e">
        <f t="shared" si="9"/>
        <v>#DIV/0!</v>
      </c>
      <c r="AI34" s="49" t="e">
        <f t="shared" si="20"/>
        <v>#DIV/0!</v>
      </c>
      <c r="AJ34" s="49" t="e">
        <f t="shared" si="20"/>
        <v>#DIV/0!</v>
      </c>
      <c r="AK34" s="49" t="e">
        <f t="shared" si="20"/>
        <v>#DIV/0!</v>
      </c>
      <c r="AL34" s="49" t="e">
        <f t="shared" si="20"/>
        <v>#DIV/0!</v>
      </c>
      <c r="AM34" s="49" t="e">
        <f t="shared" si="20"/>
        <v>#DIV/0!</v>
      </c>
      <c r="AN34" s="49" t="e">
        <f t="shared" si="20"/>
        <v>#DIV/0!</v>
      </c>
      <c r="AO34" s="49" t="e">
        <f t="shared" si="20"/>
        <v>#DIV/0!</v>
      </c>
      <c r="AP34" s="43"/>
      <c r="AQ34" s="43">
        <f t="shared" si="1"/>
        <v>0</v>
      </c>
      <c r="AR34" s="43">
        <f t="shared" si="2"/>
        <v>0</v>
      </c>
      <c r="BB34" s="24">
        <v>27</v>
      </c>
      <c r="BC34" s="41">
        <f t="shared" si="13"/>
        <v>0</v>
      </c>
      <c r="BD34" s="26">
        <f t="shared" si="10"/>
        <v>-1.0000000000000001E-5</v>
      </c>
      <c r="BE34" s="27">
        <f t="shared" si="14"/>
        <v>-5.0000000000000004E-6</v>
      </c>
      <c r="BF34" s="28">
        <f t="shared" si="15"/>
        <v>-1.0000000000000001E-5</v>
      </c>
      <c r="BG34" s="29">
        <f t="shared" si="16"/>
        <v>0</v>
      </c>
      <c r="BH34" s="30" t="e">
        <f t="shared" si="11"/>
        <v>#DIV/0!</v>
      </c>
      <c r="BI34" s="31">
        <f t="shared" si="19"/>
        <v>0</v>
      </c>
      <c r="BJ34" s="30" t="e">
        <f t="shared" si="12"/>
        <v>#DIV/0!</v>
      </c>
      <c r="BK34" s="32" t="e">
        <f t="shared" si="17"/>
        <v>#DIV/0!</v>
      </c>
      <c r="BM34" s="43" t="e">
        <f t="shared" si="18"/>
        <v>#DIV/0!</v>
      </c>
    </row>
    <row r="35" spans="2:65" s="4" customFormat="1" ht="24.95" customHeight="1" x14ac:dyDescent="0.3">
      <c r="B35" s="18">
        <v>31</v>
      </c>
      <c r="C35" s="21" t="str">
        <f>IF('Eingabe und Diagramm'!C35="","",'Eingabe und Diagramm'!C35)</f>
        <v/>
      </c>
      <c r="D35" s="20"/>
      <c r="E35" s="18">
        <v>81</v>
      </c>
      <c r="F35" s="21" t="str">
        <f>IF('Eingabe und Diagramm'!F35="","",'Eingabe und Diagramm'!F35)</f>
        <v/>
      </c>
      <c r="G35" s="22"/>
      <c r="H35" s="23">
        <v>131</v>
      </c>
      <c r="I35" s="21" t="str">
        <f>IF('Eingabe und Diagramm'!I35="","",'Eingabe und Diagramm'!I35)</f>
        <v/>
      </c>
      <c r="J35" s="22"/>
      <c r="K35" s="23">
        <v>181</v>
      </c>
      <c r="L35" s="21" t="str">
        <f>IF('Eingabe und Diagramm'!L35="","",'Eingabe und Diagramm'!L35)</f>
        <v/>
      </c>
      <c r="N35" s="56"/>
      <c r="O35" s="56"/>
      <c r="P35" s="56"/>
      <c r="S35" s="164"/>
      <c r="T35" s="165"/>
      <c r="AA35" s="2"/>
      <c r="AB35" s="2"/>
      <c r="AC35" s="2"/>
      <c r="AD35" s="43">
        <v>31</v>
      </c>
      <c r="AE35" s="43">
        <f t="shared" si="0"/>
        <v>0</v>
      </c>
      <c r="AF35" s="43" t="str">
        <f t="shared" si="8"/>
        <v>OGW</v>
      </c>
      <c r="AG35" s="43" t="str">
        <f t="shared" si="6"/>
        <v>OGW</v>
      </c>
      <c r="AH35" s="43" t="e">
        <f t="shared" si="9"/>
        <v>#DIV/0!</v>
      </c>
      <c r="AI35" s="49" t="e">
        <f t="shared" si="20"/>
        <v>#DIV/0!</v>
      </c>
      <c r="AJ35" s="49" t="e">
        <f t="shared" si="20"/>
        <v>#DIV/0!</v>
      </c>
      <c r="AK35" s="49" t="e">
        <f t="shared" si="20"/>
        <v>#DIV/0!</v>
      </c>
      <c r="AL35" s="49" t="e">
        <f t="shared" si="20"/>
        <v>#DIV/0!</v>
      </c>
      <c r="AM35" s="49" t="e">
        <f t="shared" si="20"/>
        <v>#DIV/0!</v>
      </c>
      <c r="AN35" s="49" t="e">
        <f t="shared" si="20"/>
        <v>#DIV/0!</v>
      </c>
      <c r="AO35" s="49" t="e">
        <f t="shared" si="20"/>
        <v>#DIV/0!</v>
      </c>
      <c r="AP35" s="43"/>
      <c r="AQ35" s="43">
        <f t="shared" si="1"/>
        <v>0</v>
      </c>
      <c r="AR35" s="43">
        <f t="shared" si="2"/>
        <v>0</v>
      </c>
      <c r="BB35" s="24">
        <v>28</v>
      </c>
      <c r="BC35" s="41">
        <f t="shared" si="13"/>
        <v>0</v>
      </c>
      <c r="BD35" s="26">
        <f t="shared" si="10"/>
        <v>-1.0000000000000001E-5</v>
      </c>
      <c r="BE35" s="27">
        <f t="shared" si="14"/>
        <v>-5.0000000000000004E-6</v>
      </c>
      <c r="BF35" s="28">
        <f t="shared" si="15"/>
        <v>-1.0000000000000001E-5</v>
      </c>
      <c r="BG35" s="29">
        <f t="shared" si="16"/>
        <v>0</v>
      </c>
      <c r="BH35" s="30" t="e">
        <f t="shared" si="11"/>
        <v>#DIV/0!</v>
      </c>
      <c r="BI35" s="31">
        <f t="shared" si="19"/>
        <v>0</v>
      </c>
      <c r="BJ35" s="30" t="e">
        <f t="shared" si="12"/>
        <v>#DIV/0!</v>
      </c>
      <c r="BK35" s="32" t="e">
        <f t="shared" si="17"/>
        <v>#DIV/0!</v>
      </c>
      <c r="BM35" s="43" t="e">
        <f t="shared" si="18"/>
        <v>#DIV/0!</v>
      </c>
    </row>
    <row r="36" spans="2:65" s="4" customFormat="1" ht="24.95" customHeight="1" x14ac:dyDescent="0.3">
      <c r="B36" s="18">
        <v>32</v>
      </c>
      <c r="C36" s="21" t="str">
        <f>IF('Eingabe und Diagramm'!C36="","",'Eingabe und Diagramm'!C36)</f>
        <v/>
      </c>
      <c r="D36" s="20"/>
      <c r="E36" s="18">
        <v>82</v>
      </c>
      <c r="F36" s="21" t="str">
        <f>IF('Eingabe und Diagramm'!F36="","",'Eingabe und Diagramm'!F36)</f>
        <v/>
      </c>
      <c r="G36" s="22"/>
      <c r="H36" s="23">
        <v>132</v>
      </c>
      <c r="I36" s="21" t="str">
        <f>IF('Eingabe und Diagramm'!I36="","",'Eingabe und Diagramm'!I36)</f>
        <v/>
      </c>
      <c r="J36" s="22"/>
      <c r="K36" s="23">
        <v>182</v>
      </c>
      <c r="L36" s="21" t="str">
        <f>IF('Eingabe und Diagramm'!L36="","",'Eingabe und Diagramm'!L36)</f>
        <v/>
      </c>
      <c r="N36" s="50"/>
      <c r="O36" s="50"/>
      <c r="P36" s="51" t="s">
        <v>35</v>
      </c>
      <c r="S36" s="164"/>
      <c r="T36" s="165"/>
      <c r="AA36" s="2"/>
      <c r="AB36" s="2"/>
      <c r="AC36" s="2"/>
      <c r="AD36" s="43">
        <v>32</v>
      </c>
      <c r="AE36" s="43">
        <f t="shared" si="0"/>
        <v>0</v>
      </c>
      <c r="AF36" s="43" t="str">
        <f t="shared" si="8"/>
        <v>OGW</v>
      </c>
      <c r="AG36" s="43" t="str">
        <f t="shared" si="6"/>
        <v>OGW</v>
      </c>
      <c r="AH36" s="43" t="e">
        <f t="shared" si="9"/>
        <v>#DIV/0!</v>
      </c>
      <c r="AI36" s="49" t="e">
        <f t="shared" si="20"/>
        <v>#DIV/0!</v>
      </c>
      <c r="AJ36" s="49" t="e">
        <f t="shared" si="20"/>
        <v>#DIV/0!</v>
      </c>
      <c r="AK36" s="49" t="e">
        <f t="shared" si="20"/>
        <v>#DIV/0!</v>
      </c>
      <c r="AL36" s="49" t="e">
        <f t="shared" si="20"/>
        <v>#DIV/0!</v>
      </c>
      <c r="AM36" s="49" t="e">
        <f t="shared" si="20"/>
        <v>#DIV/0!</v>
      </c>
      <c r="AN36" s="49" t="e">
        <f t="shared" si="20"/>
        <v>#DIV/0!</v>
      </c>
      <c r="AO36" s="49" t="e">
        <f t="shared" si="20"/>
        <v>#DIV/0!</v>
      </c>
      <c r="AP36" s="43"/>
      <c r="AQ36" s="43">
        <f t="shared" si="1"/>
        <v>0</v>
      </c>
      <c r="AR36" s="43">
        <f t="shared" si="2"/>
        <v>0</v>
      </c>
      <c r="BB36" s="24">
        <v>29</v>
      </c>
      <c r="BC36" s="41">
        <f t="shared" si="13"/>
        <v>0</v>
      </c>
      <c r="BD36" s="26">
        <f t="shared" si="10"/>
        <v>-1.0000000000000001E-5</v>
      </c>
      <c r="BE36" s="27">
        <f t="shared" si="14"/>
        <v>-5.0000000000000004E-6</v>
      </c>
      <c r="BF36" s="28">
        <f t="shared" si="15"/>
        <v>-1.0000000000000001E-5</v>
      </c>
      <c r="BG36" s="29">
        <f t="shared" si="16"/>
        <v>0</v>
      </c>
      <c r="BH36" s="30" t="e">
        <f t="shared" si="11"/>
        <v>#DIV/0!</v>
      </c>
      <c r="BI36" s="31">
        <f t="shared" si="19"/>
        <v>0</v>
      </c>
      <c r="BJ36" s="30" t="e">
        <f t="shared" si="12"/>
        <v>#DIV/0!</v>
      </c>
      <c r="BK36" s="32" t="e">
        <f t="shared" si="17"/>
        <v>#DIV/0!</v>
      </c>
      <c r="BM36" s="43" t="e">
        <f t="shared" si="18"/>
        <v>#DIV/0!</v>
      </c>
    </row>
    <row r="37" spans="2:65" s="4" customFormat="1" ht="24.95" customHeight="1" x14ac:dyDescent="0.3">
      <c r="B37" s="18">
        <v>33</v>
      </c>
      <c r="C37" s="21" t="str">
        <f>IF('Eingabe und Diagramm'!C37="","",'Eingabe und Diagramm'!C37)</f>
        <v/>
      </c>
      <c r="D37" s="20"/>
      <c r="E37" s="18">
        <v>83</v>
      </c>
      <c r="F37" s="21" t="str">
        <f>IF('Eingabe und Diagramm'!F37="","",'Eingabe und Diagramm'!F37)</f>
        <v/>
      </c>
      <c r="G37" s="22"/>
      <c r="H37" s="23">
        <v>133</v>
      </c>
      <c r="I37" s="21" t="str">
        <f>IF('Eingabe und Diagramm'!I37="","",'Eingabe und Diagramm'!I37)</f>
        <v/>
      </c>
      <c r="J37" s="22"/>
      <c r="K37" s="23">
        <v>183</v>
      </c>
      <c r="L37" s="21" t="str">
        <f>IF('Eingabe und Diagramm'!L37="","",'Eingabe und Diagramm'!L37)</f>
        <v/>
      </c>
      <c r="N37" s="50"/>
      <c r="O37" s="51" t="s">
        <v>67</v>
      </c>
      <c r="P37" s="57" t="e">
        <f>NORMDIST(P18,P22,P23,1)*1000000</f>
        <v>#DIV/0!</v>
      </c>
      <c r="S37" s="164"/>
      <c r="T37" s="165"/>
      <c r="AA37" s="2"/>
      <c r="AB37" s="2"/>
      <c r="AC37" s="2"/>
      <c r="AD37" s="43">
        <v>33</v>
      </c>
      <c r="AE37" s="43">
        <f t="shared" ref="AE37:AE68" si="21">IF(($P$21&gt;AD37),AD37,$P$21)</f>
        <v>0</v>
      </c>
      <c r="AF37" s="43" t="str">
        <f t="shared" si="8"/>
        <v>OGW</v>
      </c>
      <c r="AG37" s="43" t="str">
        <f t="shared" si="6"/>
        <v>OGW</v>
      </c>
      <c r="AH37" s="43" t="e">
        <f t="shared" si="9"/>
        <v>#DIV/0!</v>
      </c>
      <c r="AI37" s="49" t="e">
        <f t="shared" si="20"/>
        <v>#DIV/0!</v>
      </c>
      <c r="AJ37" s="49" t="e">
        <f t="shared" si="20"/>
        <v>#DIV/0!</v>
      </c>
      <c r="AK37" s="49" t="e">
        <f t="shared" si="20"/>
        <v>#DIV/0!</v>
      </c>
      <c r="AL37" s="49" t="e">
        <f t="shared" si="20"/>
        <v>#DIV/0!</v>
      </c>
      <c r="AM37" s="49" t="e">
        <f t="shared" si="20"/>
        <v>#DIV/0!</v>
      </c>
      <c r="AN37" s="49" t="e">
        <f t="shared" si="20"/>
        <v>#DIV/0!</v>
      </c>
      <c r="AO37" s="49" t="e">
        <f t="shared" si="20"/>
        <v>#DIV/0!</v>
      </c>
      <c r="AP37" s="43"/>
      <c r="AQ37" s="43">
        <f t="shared" ref="AQ37:AQ68" si="22">IF(AND(C37&lt;&gt;"",C37&lt;UGW),1,0)</f>
        <v>0</v>
      </c>
      <c r="AR37" s="43">
        <f t="shared" ref="AR37:AR68" si="23">IF(AND(C37&lt;&gt;"",C37&gt;OGW),1,0)</f>
        <v>0</v>
      </c>
      <c r="BB37" s="24">
        <v>30</v>
      </c>
      <c r="BC37" s="41">
        <f t="shared" si="13"/>
        <v>0</v>
      </c>
      <c r="BD37" s="26">
        <f t="shared" si="10"/>
        <v>-1.0000000000000001E-5</v>
      </c>
      <c r="BE37" s="27">
        <f t="shared" si="14"/>
        <v>-5.0000000000000004E-6</v>
      </c>
      <c r="BF37" s="28">
        <f t="shared" si="15"/>
        <v>-1.0000000000000001E-5</v>
      </c>
      <c r="BG37" s="29">
        <f t="shared" si="16"/>
        <v>0</v>
      </c>
      <c r="BH37" s="30" t="e">
        <f t="shared" si="11"/>
        <v>#DIV/0!</v>
      </c>
      <c r="BI37" s="31">
        <f t="shared" si="19"/>
        <v>0</v>
      </c>
      <c r="BJ37" s="30" t="e">
        <f t="shared" si="12"/>
        <v>#DIV/0!</v>
      </c>
      <c r="BK37" s="32" t="e">
        <f t="shared" si="17"/>
        <v>#DIV/0!</v>
      </c>
      <c r="BM37" s="43" t="e">
        <f t="shared" si="18"/>
        <v>#DIV/0!</v>
      </c>
    </row>
    <row r="38" spans="2:65" s="4" customFormat="1" ht="24.95" customHeight="1" x14ac:dyDescent="0.3">
      <c r="B38" s="18">
        <v>34</v>
      </c>
      <c r="C38" s="21" t="str">
        <f>IF('Eingabe und Diagramm'!C38="","",'Eingabe und Diagramm'!C38)</f>
        <v/>
      </c>
      <c r="D38" s="20"/>
      <c r="E38" s="18">
        <v>84</v>
      </c>
      <c r="F38" s="21" t="str">
        <f>IF('Eingabe und Diagramm'!F38="","",'Eingabe und Diagramm'!F38)</f>
        <v/>
      </c>
      <c r="G38" s="22"/>
      <c r="H38" s="23">
        <v>134</v>
      </c>
      <c r="I38" s="21" t="str">
        <f>IF('Eingabe und Diagramm'!I38="","",'Eingabe und Diagramm'!I38)</f>
        <v/>
      </c>
      <c r="J38" s="22"/>
      <c r="K38" s="23">
        <v>184</v>
      </c>
      <c r="L38" s="21" t="str">
        <f>IF('Eingabe und Diagramm'!L38="","",'Eingabe und Diagramm'!L38)</f>
        <v/>
      </c>
      <c r="N38" s="50"/>
      <c r="O38" s="51" t="s">
        <v>68</v>
      </c>
      <c r="P38" s="57" t="e">
        <f>(1-NORMDIST(P19,P22,P23,1))*1000000</f>
        <v>#DIV/0!</v>
      </c>
      <c r="S38" s="164"/>
      <c r="T38" s="165"/>
      <c r="AA38" s="2"/>
      <c r="AB38" s="2"/>
      <c r="AC38" s="2"/>
      <c r="AD38" s="43">
        <v>34</v>
      </c>
      <c r="AE38" s="43">
        <f t="shared" si="21"/>
        <v>0</v>
      </c>
      <c r="AF38" s="43" t="str">
        <f t="shared" si="8"/>
        <v>OGW</v>
      </c>
      <c r="AG38" s="43" t="str">
        <f t="shared" si="6"/>
        <v>OGW</v>
      </c>
      <c r="AH38" s="43" t="e">
        <f t="shared" si="9"/>
        <v>#DIV/0!</v>
      </c>
      <c r="AI38" s="49" t="e">
        <f t="shared" ref="AI38:AO53" si="24">AI37</f>
        <v>#DIV/0!</v>
      </c>
      <c r="AJ38" s="49" t="e">
        <f t="shared" si="24"/>
        <v>#DIV/0!</v>
      </c>
      <c r="AK38" s="49" t="e">
        <f t="shared" si="24"/>
        <v>#DIV/0!</v>
      </c>
      <c r="AL38" s="49" t="e">
        <f t="shared" si="24"/>
        <v>#DIV/0!</v>
      </c>
      <c r="AM38" s="49" t="e">
        <f t="shared" si="24"/>
        <v>#DIV/0!</v>
      </c>
      <c r="AN38" s="49" t="e">
        <f t="shared" si="24"/>
        <v>#DIV/0!</v>
      </c>
      <c r="AO38" s="49" t="e">
        <f t="shared" si="24"/>
        <v>#DIV/0!</v>
      </c>
      <c r="AP38" s="43"/>
      <c r="AQ38" s="43">
        <f t="shared" si="22"/>
        <v>0</v>
      </c>
      <c r="AR38" s="43">
        <f t="shared" si="23"/>
        <v>0</v>
      </c>
      <c r="BB38" s="24">
        <v>31</v>
      </c>
      <c r="BC38" s="41">
        <f t="shared" si="13"/>
        <v>0</v>
      </c>
      <c r="BD38" s="26">
        <f t="shared" si="10"/>
        <v>-1.0000000000000001E-5</v>
      </c>
      <c r="BE38" s="27">
        <f t="shared" si="14"/>
        <v>-5.0000000000000004E-6</v>
      </c>
      <c r="BF38" s="28">
        <f t="shared" si="15"/>
        <v>-1.0000000000000001E-5</v>
      </c>
      <c r="BG38" s="29">
        <f t="shared" si="16"/>
        <v>0</v>
      </c>
      <c r="BH38" s="30" t="e">
        <f t="shared" si="11"/>
        <v>#DIV/0!</v>
      </c>
      <c r="BI38" s="31">
        <f t="shared" si="19"/>
        <v>0</v>
      </c>
      <c r="BJ38" s="30" t="e">
        <f t="shared" si="12"/>
        <v>#DIV/0!</v>
      </c>
      <c r="BK38" s="32" t="e">
        <f t="shared" si="17"/>
        <v>#DIV/0!</v>
      </c>
      <c r="BM38" s="43" t="e">
        <f t="shared" si="18"/>
        <v>#DIV/0!</v>
      </c>
    </row>
    <row r="39" spans="2:65" s="4" customFormat="1" ht="24.95" customHeight="1" x14ac:dyDescent="0.3">
      <c r="B39" s="18">
        <v>35</v>
      </c>
      <c r="C39" s="21" t="str">
        <f>IF('Eingabe und Diagramm'!C39="","",'Eingabe und Diagramm'!C39)</f>
        <v/>
      </c>
      <c r="D39" s="20"/>
      <c r="E39" s="18">
        <v>85</v>
      </c>
      <c r="F39" s="21" t="str">
        <f>IF('Eingabe und Diagramm'!F39="","",'Eingabe und Diagramm'!F39)</f>
        <v/>
      </c>
      <c r="G39" s="22"/>
      <c r="H39" s="23">
        <v>135</v>
      </c>
      <c r="I39" s="21" t="str">
        <f>IF('Eingabe und Diagramm'!I39="","",'Eingabe und Diagramm'!I39)</f>
        <v/>
      </c>
      <c r="J39" s="22"/>
      <c r="K39" s="23">
        <v>185</v>
      </c>
      <c r="L39" s="21" t="str">
        <f>IF('Eingabe und Diagramm'!L39="","",'Eingabe und Diagramm'!L39)</f>
        <v/>
      </c>
      <c r="N39" s="50"/>
      <c r="O39" s="51" t="s">
        <v>7</v>
      </c>
      <c r="P39" s="57" t="e">
        <f>P37+P38</f>
        <v>#DIV/0!</v>
      </c>
      <c r="S39" s="164"/>
      <c r="T39" s="165"/>
      <c r="AA39" s="2"/>
      <c r="AB39" s="2"/>
      <c r="AC39" s="2"/>
      <c r="AD39" s="43">
        <v>35</v>
      </c>
      <c r="AE39" s="43">
        <f t="shared" si="21"/>
        <v>0</v>
      </c>
      <c r="AF39" s="43" t="str">
        <f t="shared" si="8"/>
        <v>OGW</v>
      </c>
      <c r="AG39" s="43" t="str">
        <f t="shared" si="6"/>
        <v>OGW</v>
      </c>
      <c r="AH39" s="43" t="e">
        <f t="shared" si="9"/>
        <v>#DIV/0!</v>
      </c>
      <c r="AI39" s="49" t="e">
        <f t="shared" si="24"/>
        <v>#DIV/0!</v>
      </c>
      <c r="AJ39" s="49" t="e">
        <f t="shared" si="24"/>
        <v>#DIV/0!</v>
      </c>
      <c r="AK39" s="49" t="e">
        <f t="shared" si="24"/>
        <v>#DIV/0!</v>
      </c>
      <c r="AL39" s="49" t="e">
        <f t="shared" si="24"/>
        <v>#DIV/0!</v>
      </c>
      <c r="AM39" s="49" t="e">
        <f t="shared" si="24"/>
        <v>#DIV/0!</v>
      </c>
      <c r="AN39" s="49" t="e">
        <f t="shared" si="24"/>
        <v>#DIV/0!</v>
      </c>
      <c r="AO39" s="49" t="e">
        <f t="shared" si="24"/>
        <v>#DIV/0!</v>
      </c>
      <c r="AP39" s="43"/>
      <c r="AQ39" s="43">
        <f t="shared" si="22"/>
        <v>0</v>
      </c>
      <c r="AR39" s="43">
        <f t="shared" si="23"/>
        <v>0</v>
      </c>
      <c r="BB39" s="24">
        <v>32</v>
      </c>
      <c r="BC39" s="41">
        <f t="shared" si="13"/>
        <v>0</v>
      </c>
      <c r="BD39" s="26">
        <f t="shared" si="10"/>
        <v>-1.0000000000000001E-5</v>
      </c>
      <c r="BE39" s="27">
        <f t="shared" si="14"/>
        <v>-5.0000000000000004E-6</v>
      </c>
      <c r="BF39" s="28">
        <f t="shared" si="15"/>
        <v>-1.0000000000000001E-5</v>
      </c>
      <c r="BG39" s="29">
        <f t="shared" si="16"/>
        <v>0</v>
      </c>
      <c r="BH39" s="30" t="e">
        <f t="shared" si="11"/>
        <v>#DIV/0!</v>
      </c>
      <c r="BI39" s="31">
        <f t="shared" si="19"/>
        <v>0</v>
      </c>
      <c r="BJ39" s="30" t="e">
        <f t="shared" si="12"/>
        <v>#DIV/0!</v>
      </c>
      <c r="BK39" s="32" t="e">
        <f t="shared" si="17"/>
        <v>#DIV/0!</v>
      </c>
      <c r="BM39" s="43" t="e">
        <f t="shared" si="18"/>
        <v>#DIV/0!</v>
      </c>
    </row>
    <row r="40" spans="2:65" s="4" customFormat="1" ht="24.95" customHeight="1" x14ac:dyDescent="0.3">
      <c r="B40" s="18">
        <v>36</v>
      </c>
      <c r="C40" s="21" t="str">
        <f>IF('Eingabe und Diagramm'!C40="","",'Eingabe und Diagramm'!C40)</f>
        <v/>
      </c>
      <c r="D40" s="20"/>
      <c r="E40" s="18">
        <v>86</v>
      </c>
      <c r="F40" s="21" t="str">
        <f>IF('Eingabe und Diagramm'!F40="","",'Eingabe und Diagramm'!F40)</f>
        <v/>
      </c>
      <c r="G40" s="22"/>
      <c r="H40" s="23">
        <v>136</v>
      </c>
      <c r="I40" s="21" t="str">
        <f>IF('Eingabe und Diagramm'!I40="","",'Eingabe und Diagramm'!I40)</f>
        <v/>
      </c>
      <c r="J40" s="22"/>
      <c r="K40" s="23">
        <v>186</v>
      </c>
      <c r="L40" s="21" t="str">
        <f>IF('Eingabe und Diagramm'!L40="","",'Eingabe und Diagramm'!L40)</f>
        <v/>
      </c>
      <c r="N40" s="56"/>
      <c r="O40" s="56"/>
      <c r="P40" s="56"/>
      <c r="S40" s="164"/>
      <c r="T40" s="165"/>
      <c r="AA40" s="2"/>
      <c r="AB40" s="2"/>
      <c r="AC40" s="2"/>
      <c r="AD40" s="43">
        <v>36</v>
      </c>
      <c r="AE40" s="43">
        <f t="shared" si="21"/>
        <v>0</v>
      </c>
      <c r="AF40" s="43" t="str">
        <f t="shared" si="8"/>
        <v>OGW</v>
      </c>
      <c r="AG40" s="43" t="str">
        <f t="shared" si="6"/>
        <v>OGW</v>
      </c>
      <c r="AH40" s="43" t="e">
        <f t="shared" si="9"/>
        <v>#DIV/0!</v>
      </c>
      <c r="AI40" s="49" t="e">
        <f t="shared" si="24"/>
        <v>#DIV/0!</v>
      </c>
      <c r="AJ40" s="49" t="e">
        <f t="shared" si="24"/>
        <v>#DIV/0!</v>
      </c>
      <c r="AK40" s="49" t="e">
        <f t="shared" si="24"/>
        <v>#DIV/0!</v>
      </c>
      <c r="AL40" s="49" t="e">
        <f t="shared" si="24"/>
        <v>#DIV/0!</v>
      </c>
      <c r="AM40" s="49" t="e">
        <f t="shared" si="24"/>
        <v>#DIV/0!</v>
      </c>
      <c r="AN40" s="49" t="e">
        <f t="shared" si="24"/>
        <v>#DIV/0!</v>
      </c>
      <c r="AO40" s="49" t="e">
        <f t="shared" si="24"/>
        <v>#DIV/0!</v>
      </c>
      <c r="AP40" s="43"/>
      <c r="AQ40" s="43">
        <f t="shared" si="22"/>
        <v>0</v>
      </c>
      <c r="AR40" s="43">
        <f t="shared" si="23"/>
        <v>0</v>
      </c>
      <c r="BB40" s="24">
        <v>33</v>
      </c>
      <c r="BC40" s="41">
        <f t="shared" si="13"/>
        <v>0</v>
      </c>
      <c r="BD40" s="26">
        <f t="shared" si="10"/>
        <v>-1.0000000000000001E-5</v>
      </c>
      <c r="BE40" s="27">
        <f t="shared" si="14"/>
        <v>-5.0000000000000004E-6</v>
      </c>
      <c r="BF40" s="28">
        <f t="shared" si="15"/>
        <v>-1.0000000000000001E-5</v>
      </c>
      <c r="BG40" s="29">
        <f t="shared" si="16"/>
        <v>0</v>
      </c>
      <c r="BH40" s="30" t="e">
        <f t="shared" ref="BH40:BH71" si="25">$BG40/$P$21</f>
        <v>#DIV/0!</v>
      </c>
      <c r="BI40" s="31">
        <f t="shared" si="19"/>
        <v>0</v>
      </c>
      <c r="BJ40" s="30" t="e">
        <f t="shared" ref="BJ40:BJ71" si="26">BI40/$P$21</f>
        <v>#DIV/0!</v>
      </c>
      <c r="BK40" s="32" t="e">
        <f t="shared" si="17"/>
        <v>#DIV/0!</v>
      </c>
      <c r="BM40" s="43" t="e">
        <f t="shared" si="18"/>
        <v>#DIV/0!</v>
      </c>
    </row>
    <row r="41" spans="2:65" s="4" customFormat="1" ht="24.95" customHeight="1" x14ac:dyDescent="0.3">
      <c r="B41" s="18">
        <v>37</v>
      </c>
      <c r="C41" s="21" t="str">
        <f>IF('Eingabe und Diagramm'!C41="","",'Eingabe und Diagramm'!C41)</f>
        <v/>
      </c>
      <c r="D41" s="20"/>
      <c r="E41" s="18">
        <v>87</v>
      </c>
      <c r="F41" s="21" t="str">
        <f>IF('Eingabe und Diagramm'!F41="","",'Eingabe und Diagramm'!F41)</f>
        <v/>
      </c>
      <c r="G41" s="22"/>
      <c r="H41" s="23">
        <v>137</v>
      </c>
      <c r="I41" s="21" t="str">
        <f>IF('Eingabe und Diagramm'!I41="","",'Eingabe und Diagramm'!I41)</f>
        <v/>
      </c>
      <c r="J41" s="22"/>
      <c r="K41" s="23">
        <v>187</v>
      </c>
      <c r="L41" s="21" t="str">
        <f>IF('Eingabe und Diagramm'!L41="","",'Eingabe und Diagramm'!L41)</f>
        <v/>
      </c>
      <c r="N41" s="50"/>
      <c r="O41" s="52"/>
      <c r="P41" s="51" t="s">
        <v>36</v>
      </c>
      <c r="S41" s="164"/>
      <c r="T41" s="165"/>
      <c r="AA41" s="2"/>
      <c r="AB41" s="2"/>
      <c r="AC41" s="2"/>
      <c r="AD41" s="43">
        <v>37</v>
      </c>
      <c r="AE41" s="43">
        <f t="shared" si="21"/>
        <v>0</v>
      </c>
      <c r="AF41" s="43" t="str">
        <f t="shared" si="8"/>
        <v>OGW</v>
      </c>
      <c r="AG41" s="43" t="str">
        <f t="shared" si="6"/>
        <v>OGW</v>
      </c>
      <c r="AH41" s="43" t="e">
        <f t="shared" si="9"/>
        <v>#DIV/0!</v>
      </c>
      <c r="AI41" s="49" t="e">
        <f t="shared" si="24"/>
        <v>#DIV/0!</v>
      </c>
      <c r="AJ41" s="49" t="e">
        <f t="shared" si="24"/>
        <v>#DIV/0!</v>
      </c>
      <c r="AK41" s="49" t="e">
        <f t="shared" si="24"/>
        <v>#DIV/0!</v>
      </c>
      <c r="AL41" s="49" t="e">
        <f t="shared" si="24"/>
        <v>#DIV/0!</v>
      </c>
      <c r="AM41" s="49" t="e">
        <f t="shared" si="24"/>
        <v>#DIV/0!</v>
      </c>
      <c r="AN41" s="49" t="e">
        <f t="shared" si="24"/>
        <v>#DIV/0!</v>
      </c>
      <c r="AO41" s="49" t="e">
        <f t="shared" si="24"/>
        <v>#DIV/0!</v>
      </c>
      <c r="AP41" s="43"/>
      <c r="AQ41" s="43">
        <f t="shared" si="22"/>
        <v>0</v>
      </c>
      <c r="AR41" s="43">
        <f t="shared" si="23"/>
        <v>0</v>
      </c>
      <c r="BB41" s="24">
        <v>34</v>
      </c>
      <c r="BC41" s="41">
        <f t="shared" si="13"/>
        <v>0</v>
      </c>
      <c r="BD41" s="26">
        <f t="shared" si="10"/>
        <v>-1.0000000000000001E-5</v>
      </c>
      <c r="BE41" s="27">
        <f t="shared" si="14"/>
        <v>-5.0000000000000004E-6</v>
      </c>
      <c r="BF41" s="28">
        <f t="shared" si="15"/>
        <v>-1.0000000000000001E-5</v>
      </c>
      <c r="BG41" s="29">
        <f t="shared" si="16"/>
        <v>0</v>
      </c>
      <c r="BH41" s="30" t="e">
        <f t="shared" si="25"/>
        <v>#DIV/0!</v>
      </c>
      <c r="BI41" s="31">
        <f t="shared" si="19"/>
        <v>0</v>
      </c>
      <c r="BJ41" s="30" t="e">
        <f t="shared" si="26"/>
        <v>#DIV/0!</v>
      </c>
      <c r="BK41" s="32" t="e">
        <f t="shared" si="17"/>
        <v>#DIV/0!</v>
      </c>
      <c r="BM41" s="43" t="e">
        <f t="shared" si="18"/>
        <v>#DIV/0!</v>
      </c>
    </row>
    <row r="42" spans="2:65" s="4" customFormat="1" ht="24.95" customHeight="1" x14ac:dyDescent="0.3">
      <c r="B42" s="18">
        <v>38</v>
      </c>
      <c r="C42" s="21" t="str">
        <f>IF('Eingabe und Diagramm'!C42="","",'Eingabe und Diagramm'!C42)</f>
        <v/>
      </c>
      <c r="D42" s="20"/>
      <c r="E42" s="18">
        <v>88</v>
      </c>
      <c r="F42" s="21" t="str">
        <f>IF('Eingabe und Diagramm'!F42="","",'Eingabe und Diagramm'!F42)</f>
        <v/>
      </c>
      <c r="G42" s="22"/>
      <c r="H42" s="23">
        <v>138</v>
      </c>
      <c r="I42" s="21" t="str">
        <f>IF('Eingabe und Diagramm'!I42="","",'Eingabe und Diagramm'!I42)</f>
        <v/>
      </c>
      <c r="J42" s="22"/>
      <c r="K42" s="23">
        <v>188</v>
      </c>
      <c r="L42" s="21" t="str">
        <f>IF('Eingabe und Diagramm'!L42="","",'Eingabe und Diagramm'!L42)</f>
        <v/>
      </c>
      <c r="N42" s="50"/>
      <c r="O42" s="51" t="s">
        <v>67</v>
      </c>
      <c r="P42" s="57" t="e">
        <f>AQ205/P21*1000000</f>
        <v>#DIV/0!</v>
      </c>
      <c r="S42" s="164"/>
      <c r="T42" s="165"/>
      <c r="AA42" s="2"/>
      <c r="AB42" s="2"/>
      <c r="AC42" s="2"/>
      <c r="AD42" s="43">
        <v>38</v>
      </c>
      <c r="AE42" s="43">
        <f t="shared" si="21"/>
        <v>0</v>
      </c>
      <c r="AF42" s="43" t="str">
        <f t="shared" si="8"/>
        <v>OGW</v>
      </c>
      <c r="AG42" s="43" t="str">
        <f t="shared" si="6"/>
        <v>OGW</v>
      </c>
      <c r="AH42" s="43" t="e">
        <f t="shared" si="9"/>
        <v>#DIV/0!</v>
      </c>
      <c r="AI42" s="49" t="e">
        <f t="shared" si="24"/>
        <v>#DIV/0!</v>
      </c>
      <c r="AJ42" s="49" t="e">
        <f t="shared" si="24"/>
        <v>#DIV/0!</v>
      </c>
      <c r="AK42" s="49" t="e">
        <f t="shared" si="24"/>
        <v>#DIV/0!</v>
      </c>
      <c r="AL42" s="49" t="e">
        <f t="shared" si="24"/>
        <v>#DIV/0!</v>
      </c>
      <c r="AM42" s="49" t="e">
        <f t="shared" si="24"/>
        <v>#DIV/0!</v>
      </c>
      <c r="AN42" s="49" t="e">
        <f t="shared" si="24"/>
        <v>#DIV/0!</v>
      </c>
      <c r="AO42" s="49" t="e">
        <f t="shared" si="24"/>
        <v>#DIV/0!</v>
      </c>
      <c r="AP42" s="43"/>
      <c r="AQ42" s="43">
        <f t="shared" si="22"/>
        <v>0</v>
      </c>
      <c r="AR42" s="43">
        <f t="shared" si="23"/>
        <v>0</v>
      </c>
      <c r="BB42" s="24">
        <v>35</v>
      </c>
      <c r="BC42" s="41">
        <f t="shared" si="13"/>
        <v>0</v>
      </c>
      <c r="BD42" s="26">
        <f t="shared" si="10"/>
        <v>-1.0000000000000001E-5</v>
      </c>
      <c r="BE42" s="27">
        <f t="shared" si="14"/>
        <v>-5.0000000000000004E-6</v>
      </c>
      <c r="BF42" s="28">
        <f t="shared" si="15"/>
        <v>-1.0000000000000001E-5</v>
      </c>
      <c r="BG42" s="29">
        <f t="shared" si="16"/>
        <v>0</v>
      </c>
      <c r="BH42" s="30" t="e">
        <f t="shared" si="25"/>
        <v>#DIV/0!</v>
      </c>
      <c r="BI42" s="31">
        <f t="shared" si="19"/>
        <v>0</v>
      </c>
      <c r="BJ42" s="30" t="e">
        <f t="shared" si="26"/>
        <v>#DIV/0!</v>
      </c>
      <c r="BK42" s="32" t="e">
        <f t="shared" si="17"/>
        <v>#DIV/0!</v>
      </c>
      <c r="BM42" s="43" t="e">
        <f t="shared" si="18"/>
        <v>#DIV/0!</v>
      </c>
    </row>
    <row r="43" spans="2:65" s="4" customFormat="1" ht="24.95" customHeight="1" thickBot="1" x14ac:dyDescent="0.35">
      <c r="B43" s="18">
        <v>39</v>
      </c>
      <c r="C43" s="21" t="str">
        <f>IF('Eingabe und Diagramm'!C43="","",'Eingabe und Diagramm'!C43)</f>
        <v/>
      </c>
      <c r="D43" s="20"/>
      <c r="E43" s="18">
        <v>89</v>
      </c>
      <c r="F43" s="21" t="str">
        <f>IF('Eingabe und Diagramm'!F43="","",'Eingabe und Diagramm'!F43)</f>
        <v/>
      </c>
      <c r="G43" s="22"/>
      <c r="H43" s="23">
        <v>139</v>
      </c>
      <c r="I43" s="21" t="str">
        <f>IF('Eingabe und Diagramm'!I43="","",'Eingabe und Diagramm'!I43)</f>
        <v/>
      </c>
      <c r="J43" s="22"/>
      <c r="K43" s="23">
        <v>189</v>
      </c>
      <c r="L43" s="21" t="str">
        <f>IF('Eingabe und Diagramm'!L43="","",'Eingabe und Diagramm'!L43)</f>
        <v/>
      </c>
      <c r="N43" s="50"/>
      <c r="O43" s="51" t="s">
        <v>68</v>
      </c>
      <c r="P43" s="57" t="e">
        <f>AR205/P21*1000000</f>
        <v>#DIV/0!</v>
      </c>
      <c r="S43" s="166"/>
      <c r="T43" s="167"/>
      <c r="AA43" s="2"/>
      <c r="AB43" s="2"/>
      <c r="AC43" s="2"/>
      <c r="AD43" s="43">
        <v>39</v>
      </c>
      <c r="AE43" s="43">
        <f t="shared" si="21"/>
        <v>0</v>
      </c>
      <c r="AF43" s="43" t="str">
        <f t="shared" si="8"/>
        <v>OGW</v>
      </c>
      <c r="AG43" s="43" t="str">
        <f t="shared" si="6"/>
        <v>OGW</v>
      </c>
      <c r="AH43" s="43" t="e">
        <f t="shared" si="9"/>
        <v>#DIV/0!</v>
      </c>
      <c r="AI43" s="49" t="e">
        <f t="shared" si="24"/>
        <v>#DIV/0!</v>
      </c>
      <c r="AJ43" s="49" t="e">
        <f t="shared" si="24"/>
        <v>#DIV/0!</v>
      </c>
      <c r="AK43" s="49" t="e">
        <f t="shared" si="24"/>
        <v>#DIV/0!</v>
      </c>
      <c r="AL43" s="49" t="e">
        <f t="shared" si="24"/>
        <v>#DIV/0!</v>
      </c>
      <c r="AM43" s="49" t="e">
        <f t="shared" si="24"/>
        <v>#DIV/0!</v>
      </c>
      <c r="AN43" s="49" t="e">
        <f t="shared" si="24"/>
        <v>#DIV/0!</v>
      </c>
      <c r="AO43" s="49" t="e">
        <f t="shared" si="24"/>
        <v>#DIV/0!</v>
      </c>
      <c r="AP43" s="43"/>
      <c r="AQ43" s="43">
        <f t="shared" si="22"/>
        <v>0</v>
      </c>
      <c r="AR43" s="43">
        <f t="shared" si="23"/>
        <v>0</v>
      </c>
      <c r="BB43" s="24">
        <v>36</v>
      </c>
      <c r="BC43" s="41">
        <f t="shared" si="13"/>
        <v>0</v>
      </c>
      <c r="BD43" s="26">
        <f t="shared" si="10"/>
        <v>-1.0000000000000001E-5</v>
      </c>
      <c r="BE43" s="27">
        <f t="shared" si="14"/>
        <v>-5.0000000000000004E-6</v>
      </c>
      <c r="BF43" s="28">
        <f t="shared" si="15"/>
        <v>-1.0000000000000001E-5</v>
      </c>
      <c r="BG43" s="29">
        <f t="shared" si="16"/>
        <v>0</v>
      </c>
      <c r="BH43" s="30" t="e">
        <f t="shared" si="25"/>
        <v>#DIV/0!</v>
      </c>
      <c r="BI43" s="31">
        <f t="shared" si="19"/>
        <v>0</v>
      </c>
      <c r="BJ43" s="30" t="e">
        <f t="shared" si="26"/>
        <v>#DIV/0!</v>
      </c>
      <c r="BK43" s="32" t="e">
        <f t="shared" si="17"/>
        <v>#DIV/0!</v>
      </c>
      <c r="BM43" s="43" t="e">
        <f t="shared" si="18"/>
        <v>#DIV/0!</v>
      </c>
    </row>
    <row r="44" spans="2:65" s="4" customFormat="1" ht="24.95" customHeight="1" thickBot="1" x14ac:dyDescent="0.35">
      <c r="B44" s="18">
        <v>40</v>
      </c>
      <c r="C44" s="21" t="str">
        <f>IF('Eingabe und Diagramm'!C44="","",'Eingabe und Diagramm'!C44)</f>
        <v/>
      </c>
      <c r="D44" s="20"/>
      <c r="E44" s="18">
        <v>90</v>
      </c>
      <c r="F44" s="21" t="str">
        <f>IF('Eingabe und Diagramm'!F44="","",'Eingabe und Diagramm'!F44)</f>
        <v/>
      </c>
      <c r="G44" s="22"/>
      <c r="H44" s="23">
        <v>140</v>
      </c>
      <c r="I44" s="21" t="str">
        <f>IF('Eingabe und Diagramm'!I44="","",'Eingabe und Diagramm'!I44)</f>
        <v/>
      </c>
      <c r="J44" s="22"/>
      <c r="K44" s="23">
        <v>190</v>
      </c>
      <c r="L44" s="21" t="str">
        <f>IF('Eingabe und Diagramm'!L44="","",'Eingabe und Diagramm'!L44)</f>
        <v/>
      </c>
      <c r="N44" s="50"/>
      <c r="O44" s="51" t="s">
        <v>7</v>
      </c>
      <c r="P44" s="57" t="e">
        <f>P43+P42</f>
        <v>#DIV/0!</v>
      </c>
      <c r="AA44" s="2"/>
      <c r="AB44" s="2"/>
      <c r="AC44" s="2"/>
      <c r="AD44" s="43">
        <v>40</v>
      </c>
      <c r="AE44" s="43">
        <f t="shared" si="21"/>
        <v>0</v>
      </c>
      <c r="AF44" s="43" t="str">
        <f t="shared" si="8"/>
        <v>OGW</v>
      </c>
      <c r="AG44" s="43" t="str">
        <f t="shared" si="6"/>
        <v>OGW</v>
      </c>
      <c r="AH44" s="43" t="e">
        <f t="shared" si="9"/>
        <v>#DIV/0!</v>
      </c>
      <c r="AI44" s="49" t="e">
        <f t="shared" si="24"/>
        <v>#DIV/0!</v>
      </c>
      <c r="AJ44" s="49" t="e">
        <f t="shared" si="24"/>
        <v>#DIV/0!</v>
      </c>
      <c r="AK44" s="49" t="e">
        <f t="shared" si="24"/>
        <v>#DIV/0!</v>
      </c>
      <c r="AL44" s="49" t="e">
        <f t="shared" si="24"/>
        <v>#DIV/0!</v>
      </c>
      <c r="AM44" s="49" t="e">
        <f t="shared" si="24"/>
        <v>#DIV/0!</v>
      </c>
      <c r="AN44" s="49" t="e">
        <f t="shared" si="24"/>
        <v>#DIV/0!</v>
      </c>
      <c r="AO44" s="49" t="e">
        <f t="shared" si="24"/>
        <v>#DIV/0!</v>
      </c>
      <c r="AP44" s="43"/>
      <c r="AQ44" s="43">
        <f t="shared" si="22"/>
        <v>0</v>
      </c>
      <c r="AR44" s="43">
        <f t="shared" si="23"/>
        <v>0</v>
      </c>
      <c r="BB44" s="24">
        <v>37</v>
      </c>
      <c r="BC44" s="41">
        <f t="shared" si="13"/>
        <v>0</v>
      </c>
      <c r="BD44" s="26">
        <f t="shared" si="10"/>
        <v>-1.0000000000000001E-5</v>
      </c>
      <c r="BE44" s="27">
        <f t="shared" si="14"/>
        <v>-5.0000000000000004E-6</v>
      </c>
      <c r="BF44" s="28">
        <f t="shared" si="15"/>
        <v>-1.0000000000000001E-5</v>
      </c>
      <c r="BG44" s="29">
        <f t="shared" si="16"/>
        <v>0</v>
      </c>
      <c r="BH44" s="30" t="e">
        <f t="shared" si="25"/>
        <v>#DIV/0!</v>
      </c>
      <c r="BI44" s="31">
        <f t="shared" si="19"/>
        <v>0</v>
      </c>
      <c r="BJ44" s="30" t="e">
        <f t="shared" si="26"/>
        <v>#DIV/0!</v>
      </c>
      <c r="BK44" s="32" t="e">
        <f t="shared" si="17"/>
        <v>#DIV/0!</v>
      </c>
      <c r="BM44" s="43" t="e">
        <f t="shared" si="18"/>
        <v>#DIV/0!</v>
      </c>
    </row>
    <row r="45" spans="2:65" s="4" customFormat="1" ht="24.95" customHeight="1" x14ac:dyDescent="0.3">
      <c r="B45" s="18">
        <v>41</v>
      </c>
      <c r="C45" s="21" t="str">
        <f>IF('Eingabe und Diagramm'!C45="","",'Eingabe und Diagramm'!C45)</f>
        <v/>
      </c>
      <c r="D45" s="20"/>
      <c r="E45" s="18">
        <v>91</v>
      </c>
      <c r="F45" s="21" t="str">
        <f>IF('Eingabe und Diagramm'!F45="","",'Eingabe und Diagramm'!F45)</f>
        <v/>
      </c>
      <c r="G45" s="22"/>
      <c r="H45" s="23">
        <v>141</v>
      </c>
      <c r="I45" s="21" t="str">
        <f>IF('Eingabe und Diagramm'!I45="","",'Eingabe und Diagramm'!I45)</f>
        <v/>
      </c>
      <c r="J45" s="22"/>
      <c r="K45" s="23">
        <v>191</v>
      </c>
      <c r="L45" s="21" t="str">
        <f>IF('Eingabe und Diagramm'!L45="","",'Eingabe und Diagramm'!L45)</f>
        <v/>
      </c>
      <c r="S45" s="130" t="s">
        <v>141</v>
      </c>
      <c r="T45" s="131" t="s">
        <v>147</v>
      </c>
      <c r="AA45" s="2"/>
      <c r="AB45" s="2"/>
      <c r="AC45" s="2"/>
      <c r="AD45" s="43">
        <v>41</v>
      </c>
      <c r="AE45" s="43">
        <f t="shared" si="21"/>
        <v>0</v>
      </c>
      <c r="AF45" s="43" t="str">
        <f t="shared" si="8"/>
        <v>OGW</v>
      </c>
      <c r="AG45" s="43" t="str">
        <f t="shared" si="6"/>
        <v>OGW</v>
      </c>
      <c r="AH45" s="43" t="e">
        <f t="shared" si="9"/>
        <v>#DIV/0!</v>
      </c>
      <c r="AI45" s="49" t="e">
        <f t="shared" si="24"/>
        <v>#DIV/0!</v>
      </c>
      <c r="AJ45" s="49" t="e">
        <f t="shared" si="24"/>
        <v>#DIV/0!</v>
      </c>
      <c r="AK45" s="49" t="e">
        <f t="shared" si="24"/>
        <v>#DIV/0!</v>
      </c>
      <c r="AL45" s="49" t="e">
        <f t="shared" si="24"/>
        <v>#DIV/0!</v>
      </c>
      <c r="AM45" s="49" t="e">
        <f t="shared" si="24"/>
        <v>#DIV/0!</v>
      </c>
      <c r="AN45" s="49" t="e">
        <f t="shared" si="24"/>
        <v>#DIV/0!</v>
      </c>
      <c r="AO45" s="49" t="e">
        <f t="shared" si="24"/>
        <v>#DIV/0!</v>
      </c>
      <c r="AP45" s="43"/>
      <c r="AQ45" s="43">
        <f t="shared" si="22"/>
        <v>0</v>
      </c>
      <c r="AR45" s="43">
        <f t="shared" si="23"/>
        <v>0</v>
      </c>
      <c r="BB45" s="24">
        <v>38</v>
      </c>
      <c r="BC45" s="41">
        <f t="shared" si="13"/>
        <v>0</v>
      </c>
      <c r="BD45" s="26">
        <f t="shared" si="10"/>
        <v>-1.0000000000000001E-5</v>
      </c>
      <c r="BE45" s="27">
        <f t="shared" si="14"/>
        <v>-5.0000000000000004E-6</v>
      </c>
      <c r="BF45" s="28">
        <f t="shared" si="15"/>
        <v>-1.0000000000000001E-5</v>
      </c>
      <c r="BG45" s="29">
        <f t="shared" si="16"/>
        <v>0</v>
      </c>
      <c r="BH45" s="30" t="e">
        <f t="shared" si="25"/>
        <v>#DIV/0!</v>
      </c>
      <c r="BI45" s="31">
        <f t="shared" si="19"/>
        <v>0</v>
      </c>
      <c r="BJ45" s="30" t="e">
        <f t="shared" si="26"/>
        <v>#DIV/0!</v>
      </c>
      <c r="BK45" s="32" t="e">
        <f t="shared" si="17"/>
        <v>#DIV/0!</v>
      </c>
      <c r="BM45" s="43" t="e">
        <f t="shared" si="18"/>
        <v>#DIV/0!</v>
      </c>
    </row>
    <row r="46" spans="2:65" s="4" customFormat="1" ht="24.95" customHeight="1" x14ac:dyDescent="0.3">
      <c r="B46" s="18">
        <v>42</v>
      </c>
      <c r="C46" s="21" t="str">
        <f>IF('Eingabe und Diagramm'!C46="","",'Eingabe und Diagramm'!C46)</f>
        <v/>
      </c>
      <c r="D46" s="20"/>
      <c r="E46" s="18">
        <v>92</v>
      </c>
      <c r="F46" s="21" t="str">
        <f>IF('Eingabe und Diagramm'!F46="","",'Eingabe und Diagramm'!F46)</f>
        <v/>
      </c>
      <c r="G46" s="22"/>
      <c r="H46" s="23">
        <v>142</v>
      </c>
      <c r="I46" s="21" t="str">
        <f>IF('Eingabe und Diagramm'!I46="","",'Eingabe und Diagramm'!I46)</f>
        <v/>
      </c>
      <c r="J46" s="22"/>
      <c r="K46" s="23">
        <v>192</v>
      </c>
      <c r="L46" s="21" t="str">
        <f>IF('Eingabe und Diagramm'!L46="","",'Eingabe und Diagramm'!L46)</f>
        <v/>
      </c>
      <c r="N46" s="58"/>
      <c r="O46" s="58"/>
      <c r="P46" s="58"/>
      <c r="Q46" s="58"/>
      <c r="R46" s="58"/>
      <c r="S46" s="132" t="s">
        <v>182</v>
      </c>
      <c r="T46" s="133" t="s">
        <v>185</v>
      </c>
      <c r="U46" s="58"/>
      <c r="V46" s="58"/>
      <c r="W46" s="58"/>
      <c r="X46" s="58"/>
      <c r="Y46" s="58"/>
      <c r="AA46" s="2"/>
      <c r="AB46" s="2"/>
      <c r="AC46" s="2"/>
      <c r="AD46" s="43">
        <v>42</v>
      </c>
      <c r="AE46" s="43">
        <f t="shared" si="21"/>
        <v>0</v>
      </c>
      <c r="AF46" s="43" t="str">
        <f t="shared" si="8"/>
        <v>OGW</v>
      </c>
      <c r="AG46" s="43" t="str">
        <f t="shared" si="6"/>
        <v>OGW</v>
      </c>
      <c r="AH46" s="43" t="e">
        <f t="shared" si="9"/>
        <v>#DIV/0!</v>
      </c>
      <c r="AI46" s="49" t="e">
        <f t="shared" si="24"/>
        <v>#DIV/0!</v>
      </c>
      <c r="AJ46" s="49" t="e">
        <f t="shared" si="24"/>
        <v>#DIV/0!</v>
      </c>
      <c r="AK46" s="49" t="e">
        <f t="shared" si="24"/>
        <v>#DIV/0!</v>
      </c>
      <c r="AL46" s="49" t="e">
        <f t="shared" si="24"/>
        <v>#DIV/0!</v>
      </c>
      <c r="AM46" s="49" t="e">
        <f t="shared" si="24"/>
        <v>#DIV/0!</v>
      </c>
      <c r="AN46" s="49" t="e">
        <f t="shared" si="24"/>
        <v>#DIV/0!</v>
      </c>
      <c r="AO46" s="49" t="e">
        <f t="shared" si="24"/>
        <v>#DIV/0!</v>
      </c>
      <c r="AP46" s="43"/>
      <c r="AQ46" s="43">
        <f t="shared" si="22"/>
        <v>0</v>
      </c>
      <c r="AR46" s="43">
        <f t="shared" si="23"/>
        <v>0</v>
      </c>
      <c r="BB46" s="24">
        <v>39</v>
      </c>
      <c r="BC46" s="41">
        <f t="shared" si="13"/>
        <v>0</v>
      </c>
      <c r="BD46" s="26">
        <f t="shared" si="10"/>
        <v>-1.0000000000000001E-5</v>
      </c>
      <c r="BE46" s="27">
        <f t="shared" si="14"/>
        <v>-5.0000000000000004E-6</v>
      </c>
      <c r="BF46" s="28">
        <f t="shared" si="15"/>
        <v>-1.0000000000000001E-5</v>
      </c>
      <c r="BG46" s="29">
        <f t="shared" si="16"/>
        <v>0</v>
      </c>
      <c r="BH46" s="30" t="e">
        <f t="shared" si="25"/>
        <v>#DIV/0!</v>
      </c>
      <c r="BI46" s="31">
        <f t="shared" si="19"/>
        <v>0</v>
      </c>
      <c r="BJ46" s="30" t="e">
        <f t="shared" si="26"/>
        <v>#DIV/0!</v>
      </c>
      <c r="BK46" s="32" t="e">
        <f t="shared" si="17"/>
        <v>#DIV/0!</v>
      </c>
      <c r="BM46" s="43" t="e">
        <f t="shared" si="18"/>
        <v>#DIV/0!</v>
      </c>
    </row>
    <row r="47" spans="2:65" s="4" customFormat="1" ht="24.95" customHeight="1" x14ac:dyDescent="0.3">
      <c r="B47" s="18">
        <v>43</v>
      </c>
      <c r="C47" s="21" t="str">
        <f>IF('Eingabe und Diagramm'!C47="","",'Eingabe und Diagramm'!C47)</f>
        <v/>
      </c>
      <c r="D47" s="20"/>
      <c r="E47" s="18">
        <v>93</v>
      </c>
      <c r="F47" s="21" t="str">
        <f>IF('Eingabe und Diagramm'!F47="","",'Eingabe und Diagramm'!F47)</f>
        <v/>
      </c>
      <c r="G47" s="22"/>
      <c r="H47" s="23">
        <v>143</v>
      </c>
      <c r="I47" s="21" t="str">
        <f>IF('Eingabe und Diagramm'!I47="","",'Eingabe und Diagramm'!I47)</f>
        <v/>
      </c>
      <c r="J47" s="22"/>
      <c r="K47" s="23">
        <v>193</v>
      </c>
      <c r="L47" s="21" t="str">
        <f>IF('Eingabe und Diagramm'!L47="","",'Eingabe und Diagramm'!L47)</f>
        <v/>
      </c>
      <c r="N47" s="117"/>
      <c r="O47" s="117"/>
      <c r="P47" s="50"/>
      <c r="Q47" s="50"/>
      <c r="R47" s="50"/>
      <c r="S47" s="132" t="s">
        <v>142</v>
      </c>
      <c r="T47" s="133" t="s">
        <v>149</v>
      </c>
      <c r="U47" s="50"/>
      <c r="V47" s="50"/>
      <c r="W47" s="50"/>
      <c r="X47" s="50"/>
      <c r="Y47" s="50"/>
      <c r="AA47" s="2"/>
      <c r="AB47" s="2"/>
      <c r="AC47" s="2"/>
      <c r="AD47" s="43">
        <v>43</v>
      </c>
      <c r="AE47" s="43">
        <f t="shared" si="21"/>
        <v>0</v>
      </c>
      <c r="AF47" s="43" t="str">
        <f t="shared" si="8"/>
        <v>OGW</v>
      </c>
      <c r="AG47" s="43" t="str">
        <f t="shared" si="6"/>
        <v>OGW</v>
      </c>
      <c r="AH47" s="43" t="e">
        <f t="shared" si="9"/>
        <v>#DIV/0!</v>
      </c>
      <c r="AI47" s="49" t="e">
        <f t="shared" si="24"/>
        <v>#DIV/0!</v>
      </c>
      <c r="AJ47" s="49" t="e">
        <f t="shared" si="24"/>
        <v>#DIV/0!</v>
      </c>
      <c r="AK47" s="49" t="e">
        <f t="shared" si="24"/>
        <v>#DIV/0!</v>
      </c>
      <c r="AL47" s="49" t="e">
        <f t="shared" si="24"/>
        <v>#DIV/0!</v>
      </c>
      <c r="AM47" s="49" t="e">
        <f t="shared" si="24"/>
        <v>#DIV/0!</v>
      </c>
      <c r="AN47" s="49" t="e">
        <f t="shared" si="24"/>
        <v>#DIV/0!</v>
      </c>
      <c r="AO47" s="49" t="e">
        <f t="shared" si="24"/>
        <v>#DIV/0!</v>
      </c>
      <c r="AP47" s="43"/>
      <c r="AQ47" s="43">
        <f t="shared" si="22"/>
        <v>0</v>
      </c>
      <c r="AR47" s="43">
        <f t="shared" si="23"/>
        <v>0</v>
      </c>
      <c r="BB47" s="24">
        <v>40</v>
      </c>
      <c r="BC47" s="41">
        <f t="shared" si="13"/>
        <v>0</v>
      </c>
      <c r="BD47" s="26">
        <f t="shared" si="10"/>
        <v>-1.0000000000000001E-5</v>
      </c>
      <c r="BE47" s="27">
        <f t="shared" si="14"/>
        <v>-5.0000000000000004E-6</v>
      </c>
      <c r="BF47" s="28">
        <f t="shared" si="15"/>
        <v>-1.0000000000000001E-5</v>
      </c>
      <c r="BG47" s="29">
        <f t="shared" si="16"/>
        <v>0</v>
      </c>
      <c r="BH47" s="30" t="e">
        <f t="shared" si="25"/>
        <v>#DIV/0!</v>
      </c>
      <c r="BI47" s="31">
        <f t="shared" si="19"/>
        <v>0</v>
      </c>
      <c r="BJ47" s="30" t="e">
        <f t="shared" si="26"/>
        <v>#DIV/0!</v>
      </c>
      <c r="BK47" s="32" t="e">
        <f t="shared" si="17"/>
        <v>#DIV/0!</v>
      </c>
      <c r="BM47" s="43" t="e">
        <f t="shared" si="18"/>
        <v>#DIV/0!</v>
      </c>
    </row>
    <row r="48" spans="2:65" s="4" customFormat="1" ht="24.95" customHeight="1" x14ac:dyDescent="0.3">
      <c r="B48" s="18">
        <v>44</v>
      </c>
      <c r="C48" s="21" t="str">
        <f>IF('Eingabe und Diagramm'!C48="","",'Eingabe und Diagramm'!C48)</f>
        <v/>
      </c>
      <c r="D48" s="20"/>
      <c r="E48" s="18">
        <v>94</v>
      </c>
      <c r="F48" s="21" t="str">
        <f>IF('Eingabe und Diagramm'!F48="","",'Eingabe und Diagramm'!F48)</f>
        <v/>
      </c>
      <c r="G48" s="22"/>
      <c r="H48" s="23">
        <v>144</v>
      </c>
      <c r="I48" s="21" t="str">
        <f>IF('Eingabe und Diagramm'!I48="","",'Eingabe und Diagramm'!I48)</f>
        <v/>
      </c>
      <c r="J48" s="22"/>
      <c r="K48" s="23">
        <v>194</v>
      </c>
      <c r="L48" s="21" t="str">
        <f>IF('Eingabe und Diagramm'!L48="","",'Eingabe und Diagramm'!L48)</f>
        <v/>
      </c>
      <c r="N48" s="117"/>
      <c r="O48" s="117"/>
      <c r="P48" s="117"/>
      <c r="Q48" s="117"/>
      <c r="R48" s="100"/>
      <c r="S48" s="132" t="s">
        <v>143</v>
      </c>
      <c r="T48" s="133" t="s">
        <v>150</v>
      </c>
      <c r="U48" s="100"/>
      <c r="V48" s="100"/>
      <c r="W48" s="100"/>
      <c r="X48" s="100"/>
      <c r="Y48" s="100"/>
      <c r="AA48" s="2"/>
      <c r="AB48" s="2"/>
      <c r="AC48" s="2"/>
      <c r="AD48" s="43">
        <v>44</v>
      </c>
      <c r="AE48" s="43">
        <f t="shared" si="21"/>
        <v>0</v>
      </c>
      <c r="AF48" s="43" t="str">
        <f t="shared" si="8"/>
        <v>OGW</v>
      </c>
      <c r="AG48" s="43" t="str">
        <f t="shared" si="6"/>
        <v>OGW</v>
      </c>
      <c r="AH48" s="43" t="e">
        <f t="shared" si="9"/>
        <v>#DIV/0!</v>
      </c>
      <c r="AI48" s="49" t="e">
        <f t="shared" si="24"/>
        <v>#DIV/0!</v>
      </c>
      <c r="AJ48" s="49" t="e">
        <f t="shared" si="24"/>
        <v>#DIV/0!</v>
      </c>
      <c r="AK48" s="49" t="e">
        <f t="shared" si="24"/>
        <v>#DIV/0!</v>
      </c>
      <c r="AL48" s="49" t="e">
        <f t="shared" si="24"/>
        <v>#DIV/0!</v>
      </c>
      <c r="AM48" s="49" t="e">
        <f t="shared" si="24"/>
        <v>#DIV/0!</v>
      </c>
      <c r="AN48" s="49" t="e">
        <f t="shared" si="24"/>
        <v>#DIV/0!</v>
      </c>
      <c r="AO48" s="49" t="e">
        <f t="shared" si="24"/>
        <v>#DIV/0!</v>
      </c>
      <c r="AP48" s="43"/>
      <c r="AQ48" s="43">
        <f t="shared" si="22"/>
        <v>0</v>
      </c>
      <c r="AR48" s="43">
        <f t="shared" si="23"/>
        <v>0</v>
      </c>
      <c r="BB48" s="24">
        <v>41</v>
      </c>
      <c r="BC48" s="41">
        <f t="shared" si="13"/>
        <v>0</v>
      </c>
      <c r="BD48" s="26">
        <f t="shared" si="10"/>
        <v>-1.0000000000000001E-5</v>
      </c>
      <c r="BE48" s="27">
        <f t="shared" si="14"/>
        <v>-5.0000000000000004E-6</v>
      </c>
      <c r="BF48" s="28">
        <f t="shared" si="15"/>
        <v>-1.0000000000000001E-5</v>
      </c>
      <c r="BG48" s="29">
        <f t="shared" si="16"/>
        <v>0</v>
      </c>
      <c r="BH48" s="30" t="e">
        <f t="shared" si="25"/>
        <v>#DIV/0!</v>
      </c>
      <c r="BI48" s="31">
        <f t="shared" si="19"/>
        <v>0</v>
      </c>
      <c r="BJ48" s="30" t="e">
        <f t="shared" si="26"/>
        <v>#DIV/0!</v>
      </c>
      <c r="BK48" s="32" t="e">
        <f t="shared" si="17"/>
        <v>#DIV/0!</v>
      </c>
      <c r="BM48" s="43" t="e">
        <f t="shared" si="18"/>
        <v>#DIV/0!</v>
      </c>
    </row>
    <row r="49" spans="2:65" s="4" customFormat="1" ht="24.95" customHeight="1" x14ac:dyDescent="0.3">
      <c r="B49" s="18">
        <v>45</v>
      </c>
      <c r="C49" s="21" t="str">
        <f>IF('Eingabe und Diagramm'!C49="","",'Eingabe und Diagramm'!C49)</f>
        <v/>
      </c>
      <c r="D49" s="20"/>
      <c r="E49" s="18">
        <v>95</v>
      </c>
      <c r="F49" s="21" t="str">
        <f>IF('Eingabe und Diagramm'!F49="","",'Eingabe und Diagramm'!F49)</f>
        <v/>
      </c>
      <c r="G49" s="22"/>
      <c r="H49" s="23">
        <v>145</v>
      </c>
      <c r="I49" s="21" t="str">
        <f>IF('Eingabe und Diagramm'!I49="","",'Eingabe und Diagramm'!I49)</f>
        <v/>
      </c>
      <c r="J49" s="22"/>
      <c r="K49" s="23">
        <v>195</v>
      </c>
      <c r="L49" s="21" t="str">
        <f>IF('Eingabe und Diagramm'!L49="","",'Eingabe und Diagramm'!L49)</f>
        <v/>
      </c>
      <c r="N49" s="50"/>
      <c r="O49" s="50"/>
      <c r="P49" s="50"/>
      <c r="Q49" s="50"/>
      <c r="R49" s="100"/>
      <c r="S49" s="132" t="s">
        <v>144</v>
      </c>
      <c r="T49" s="133" t="s">
        <v>151</v>
      </c>
      <c r="U49" s="100"/>
      <c r="V49" s="100"/>
      <c r="W49" s="100"/>
      <c r="X49" s="100"/>
      <c r="Y49" s="100"/>
      <c r="AA49" s="2"/>
      <c r="AB49" s="2"/>
      <c r="AC49" s="2"/>
      <c r="AD49" s="43">
        <v>45</v>
      </c>
      <c r="AE49" s="43">
        <f t="shared" si="21"/>
        <v>0</v>
      </c>
      <c r="AF49" s="43" t="str">
        <f t="shared" si="8"/>
        <v>OGW</v>
      </c>
      <c r="AG49" s="43" t="str">
        <f t="shared" si="6"/>
        <v>OGW</v>
      </c>
      <c r="AH49" s="43" t="e">
        <f t="shared" si="9"/>
        <v>#DIV/0!</v>
      </c>
      <c r="AI49" s="49" t="e">
        <f t="shared" si="24"/>
        <v>#DIV/0!</v>
      </c>
      <c r="AJ49" s="49" t="e">
        <f t="shared" si="24"/>
        <v>#DIV/0!</v>
      </c>
      <c r="AK49" s="49" t="e">
        <f t="shared" si="24"/>
        <v>#DIV/0!</v>
      </c>
      <c r="AL49" s="49" t="e">
        <f t="shared" si="24"/>
        <v>#DIV/0!</v>
      </c>
      <c r="AM49" s="49" t="e">
        <f t="shared" si="24"/>
        <v>#DIV/0!</v>
      </c>
      <c r="AN49" s="49" t="e">
        <f t="shared" si="24"/>
        <v>#DIV/0!</v>
      </c>
      <c r="AO49" s="49" t="e">
        <f t="shared" si="24"/>
        <v>#DIV/0!</v>
      </c>
      <c r="AP49" s="43"/>
      <c r="AQ49" s="43">
        <f t="shared" si="22"/>
        <v>0</v>
      </c>
      <c r="AR49" s="43">
        <f t="shared" si="23"/>
        <v>0</v>
      </c>
      <c r="BB49" s="24">
        <v>42</v>
      </c>
      <c r="BC49" s="41">
        <f t="shared" si="13"/>
        <v>0</v>
      </c>
      <c r="BD49" s="26">
        <f t="shared" si="10"/>
        <v>-1.0000000000000001E-5</v>
      </c>
      <c r="BE49" s="27">
        <f t="shared" si="14"/>
        <v>-5.0000000000000004E-6</v>
      </c>
      <c r="BF49" s="28">
        <f t="shared" si="15"/>
        <v>-1.0000000000000001E-5</v>
      </c>
      <c r="BG49" s="29">
        <f t="shared" si="16"/>
        <v>0</v>
      </c>
      <c r="BH49" s="30" t="e">
        <f t="shared" si="25"/>
        <v>#DIV/0!</v>
      </c>
      <c r="BI49" s="31">
        <f t="shared" si="19"/>
        <v>0</v>
      </c>
      <c r="BJ49" s="30" t="e">
        <f t="shared" si="26"/>
        <v>#DIV/0!</v>
      </c>
      <c r="BK49" s="32" t="e">
        <f t="shared" si="17"/>
        <v>#DIV/0!</v>
      </c>
      <c r="BM49" s="43" t="e">
        <f t="shared" si="18"/>
        <v>#DIV/0!</v>
      </c>
    </row>
    <row r="50" spans="2:65" s="4" customFormat="1" ht="24.95" customHeight="1" x14ac:dyDescent="0.3">
      <c r="B50" s="18">
        <v>46</v>
      </c>
      <c r="C50" s="21" t="str">
        <f>IF('Eingabe und Diagramm'!C50="","",'Eingabe und Diagramm'!C50)</f>
        <v/>
      </c>
      <c r="D50" s="20"/>
      <c r="E50" s="18">
        <v>96</v>
      </c>
      <c r="F50" s="21" t="str">
        <f>IF('Eingabe und Diagramm'!F50="","",'Eingabe und Diagramm'!F50)</f>
        <v/>
      </c>
      <c r="G50" s="22"/>
      <c r="H50" s="23">
        <v>146</v>
      </c>
      <c r="I50" s="21" t="str">
        <f>IF('Eingabe und Diagramm'!I50="","",'Eingabe und Diagramm'!I50)</f>
        <v/>
      </c>
      <c r="J50" s="22"/>
      <c r="K50" s="23">
        <v>196</v>
      </c>
      <c r="L50" s="21" t="str">
        <f>IF('Eingabe und Diagramm'!L50="","",'Eingabe und Diagramm'!L50)</f>
        <v/>
      </c>
      <c r="N50" s="50"/>
      <c r="O50" s="50"/>
      <c r="P50" s="50"/>
      <c r="Q50" s="50"/>
      <c r="R50" s="100"/>
      <c r="S50" s="132" t="s">
        <v>145</v>
      </c>
      <c r="T50" s="133" t="s">
        <v>152</v>
      </c>
      <c r="U50" s="100"/>
      <c r="V50" s="100"/>
      <c r="W50" s="100"/>
      <c r="X50" s="100"/>
      <c r="Y50" s="100"/>
      <c r="AA50" s="2"/>
      <c r="AB50" s="2"/>
      <c r="AC50" s="2"/>
      <c r="AD50" s="43">
        <v>46</v>
      </c>
      <c r="AE50" s="43">
        <f t="shared" si="21"/>
        <v>0</v>
      </c>
      <c r="AF50" s="43" t="str">
        <f t="shared" si="8"/>
        <v>OGW</v>
      </c>
      <c r="AG50" s="43" t="str">
        <f t="shared" si="6"/>
        <v>OGW</v>
      </c>
      <c r="AH50" s="43" t="e">
        <f t="shared" si="9"/>
        <v>#DIV/0!</v>
      </c>
      <c r="AI50" s="49" t="e">
        <f t="shared" si="24"/>
        <v>#DIV/0!</v>
      </c>
      <c r="AJ50" s="49" t="e">
        <f t="shared" si="24"/>
        <v>#DIV/0!</v>
      </c>
      <c r="AK50" s="49" t="e">
        <f t="shared" si="24"/>
        <v>#DIV/0!</v>
      </c>
      <c r="AL50" s="49" t="e">
        <f t="shared" si="24"/>
        <v>#DIV/0!</v>
      </c>
      <c r="AM50" s="49" t="e">
        <f t="shared" si="24"/>
        <v>#DIV/0!</v>
      </c>
      <c r="AN50" s="49" t="e">
        <f t="shared" si="24"/>
        <v>#DIV/0!</v>
      </c>
      <c r="AO50" s="49" t="e">
        <f t="shared" si="24"/>
        <v>#DIV/0!</v>
      </c>
      <c r="AP50" s="43"/>
      <c r="AQ50" s="43">
        <f t="shared" si="22"/>
        <v>0</v>
      </c>
      <c r="AR50" s="43">
        <f t="shared" si="23"/>
        <v>0</v>
      </c>
      <c r="BB50" s="24">
        <v>43</v>
      </c>
      <c r="BC50" s="41">
        <f t="shared" si="13"/>
        <v>0</v>
      </c>
      <c r="BD50" s="26">
        <f t="shared" si="10"/>
        <v>-1.0000000000000001E-5</v>
      </c>
      <c r="BE50" s="27">
        <f t="shared" si="14"/>
        <v>-5.0000000000000004E-6</v>
      </c>
      <c r="BF50" s="28">
        <f t="shared" si="15"/>
        <v>-1.0000000000000001E-5</v>
      </c>
      <c r="BG50" s="29">
        <f t="shared" si="16"/>
        <v>0</v>
      </c>
      <c r="BH50" s="30" t="e">
        <f t="shared" si="25"/>
        <v>#DIV/0!</v>
      </c>
      <c r="BI50" s="31">
        <f t="shared" si="19"/>
        <v>0</v>
      </c>
      <c r="BJ50" s="30" t="e">
        <f t="shared" si="26"/>
        <v>#DIV/0!</v>
      </c>
      <c r="BK50" s="32" t="e">
        <f t="shared" si="17"/>
        <v>#DIV/0!</v>
      </c>
      <c r="BM50" s="43" t="e">
        <f t="shared" si="18"/>
        <v>#DIV/0!</v>
      </c>
    </row>
    <row r="51" spans="2:65" s="4" customFormat="1" ht="24.95" customHeight="1" thickBot="1" x14ac:dyDescent="0.35">
      <c r="B51" s="18">
        <v>47</v>
      </c>
      <c r="C51" s="21" t="str">
        <f>IF('Eingabe und Diagramm'!C51="","",'Eingabe und Diagramm'!C51)</f>
        <v/>
      </c>
      <c r="D51" s="20"/>
      <c r="E51" s="18">
        <v>97</v>
      </c>
      <c r="F51" s="21" t="str">
        <f>IF('Eingabe und Diagramm'!F51="","",'Eingabe und Diagramm'!F51)</f>
        <v/>
      </c>
      <c r="G51" s="22"/>
      <c r="H51" s="23">
        <v>147</v>
      </c>
      <c r="I51" s="21" t="str">
        <f>IF('Eingabe und Diagramm'!I51="","",'Eingabe und Diagramm'!I51)</f>
        <v/>
      </c>
      <c r="J51" s="22"/>
      <c r="K51" s="23">
        <v>197</v>
      </c>
      <c r="L51" s="21" t="str">
        <f>IF('Eingabe und Diagramm'!L51="","",'Eingabe und Diagramm'!L51)</f>
        <v/>
      </c>
      <c r="N51" s="117"/>
      <c r="O51" s="117"/>
      <c r="P51" s="117"/>
      <c r="Q51" s="50"/>
      <c r="R51" s="100"/>
      <c r="S51" s="134" t="s">
        <v>146</v>
      </c>
      <c r="T51" s="135" t="s">
        <v>148</v>
      </c>
      <c r="U51" s="100"/>
      <c r="V51" s="100"/>
      <c r="W51" s="100"/>
      <c r="X51" s="100"/>
      <c r="Y51" s="100"/>
      <c r="AA51" s="2"/>
      <c r="AB51" s="2"/>
      <c r="AC51" s="2"/>
      <c r="AD51" s="43">
        <v>47</v>
      </c>
      <c r="AE51" s="43">
        <f t="shared" si="21"/>
        <v>0</v>
      </c>
      <c r="AF51" s="43" t="str">
        <f t="shared" si="8"/>
        <v>OGW</v>
      </c>
      <c r="AG51" s="43" t="str">
        <f t="shared" si="6"/>
        <v>OGW</v>
      </c>
      <c r="AH51" s="43" t="e">
        <f t="shared" si="9"/>
        <v>#DIV/0!</v>
      </c>
      <c r="AI51" s="49" t="e">
        <f t="shared" si="24"/>
        <v>#DIV/0!</v>
      </c>
      <c r="AJ51" s="49" t="e">
        <f t="shared" si="24"/>
        <v>#DIV/0!</v>
      </c>
      <c r="AK51" s="49" t="e">
        <f t="shared" si="24"/>
        <v>#DIV/0!</v>
      </c>
      <c r="AL51" s="49" t="e">
        <f t="shared" si="24"/>
        <v>#DIV/0!</v>
      </c>
      <c r="AM51" s="49" t="e">
        <f t="shared" si="24"/>
        <v>#DIV/0!</v>
      </c>
      <c r="AN51" s="49" t="e">
        <f t="shared" si="24"/>
        <v>#DIV/0!</v>
      </c>
      <c r="AO51" s="49" t="e">
        <f t="shared" si="24"/>
        <v>#DIV/0!</v>
      </c>
      <c r="AP51" s="43"/>
      <c r="AQ51" s="43">
        <f t="shared" si="22"/>
        <v>0</v>
      </c>
      <c r="AR51" s="43">
        <f t="shared" si="23"/>
        <v>0</v>
      </c>
      <c r="BB51" s="24">
        <v>44</v>
      </c>
      <c r="BC51" s="41">
        <f t="shared" si="13"/>
        <v>0</v>
      </c>
      <c r="BD51" s="26">
        <f t="shared" si="10"/>
        <v>-1.0000000000000001E-5</v>
      </c>
      <c r="BE51" s="27">
        <f t="shared" si="14"/>
        <v>-5.0000000000000004E-6</v>
      </c>
      <c r="BF51" s="28">
        <f t="shared" si="15"/>
        <v>-1.0000000000000001E-5</v>
      </c>
      <c r="BG51" s="29">
        <f t="shared" si="16"/>
        <v>0</v>
      </c>
      <c r="BH51" s="30" t="e">
        <f t="shared" si="25"/>
        <v>#DIV/0!</v>
      </c>
      <c r="BI51" s="31">
        <f t="shared" si="19"/>
        <v>0</v>
      </c>
      <c r="BJ51" s="30" t="e">
        <f t="shared" si="26"/>
        <v>#DIV/0!</v>
      </c>
      <c r="BK51" s="32" t="e">
        <f t="shared" si="17"/>
        <v>#DIV/0!</v>
      </c>
      <c r="BM51" s="43" t="e">
        <f t="shared" si="18"/>
        <v>#DIV/0!</v>
      </c>
    </row>
    <row r="52" spans="2:65" s="4" customFormat="1" ht="24.95" customHeight="1" x14ac:dyDescent="0.3">
      <c r="B52" s="18">
        <v>48</v>
      </c>
      <c r="C52" s="21" t="str">
        <f>IF('Eingabe und Diagramm'!C52="","",'Eingabe und Diagramm'!C52)</f>
        <v/>
      </c>
      <c r="D52" s="20"/>
      <c r="E52" s="18">
        <v>98</v>
      </c>
      <c r="F52" s="21" t="str">
        <f>IF('Eingabe und Diagramm'!F52="","",'Eingabe und Diagramm'!F52)</f>
        <v/>
      </c>
      <c r="G52" s="22"/>
      <c r="H52" s="23">
        <v>148</v>
      </c>
      <c r="I52" s="21" t="str">
        <f>IF('Eingabe und Diagramm'!I52="","",'Eingabe und Diagramm'!I52)</f>
        <v/>
      </c>
      <c r="J52" s="22"/>
      <c r="K52" s="23">
        <v>198</v>
      </c>
      <c r="L52" s="21" t="str">
        <f>IF('Eingabe und Diagramm'!L52="","",'Eingabe und Diagramm'!L52)</f>
        <v/>
      </c>
      <c r="N52" s="117"/>
      <c r="O52" s="117"/>
      <c r="P52" s="117"/>
      <c r="Q52" s="50"/>
      <c r="R52" s="100"/>
      <c r="S52" s="4" t="s">
        <v>167</v>
      </c>
      <c r="T52" s="4" t="s">
        <v>168</v>
      </c>
      <c r="U52" s="100"/>
      <c r="V52" s="100"/>
      <c r="W52" s="100"/>
      <c r="X52" s="100"/>
      <c r="Y52" s="100"/>
      <c r="AA52" s="2"/>
      <c r="AB52" s="2"/>
      <c r="AC52" s="2"/>
      <c r="AD52" s="43">
        <v>48</v>
      </c>
      <c r="AE52" s="43">
        <f t="shared" si="21"/>
        <v>0</v>
      </c>
      <c r="AF52" s="43" t="str">
        <f t="shared" si="8"/>
        <v>OGW</v>
      </c>
      <c r="AG52" s="43" t="str">
        <f t="shared" si="6"/>
        <v>OGW</v>
      </c>
      <c r="AH52" s="43" t="e">
        <f t="shared" si="9"/>
        <v>#DIV/0!</v>
      </c>
      <c r="AI52" s="49" t="e">
        <f t="shared" si="24"/>
        <v>#DIV/0!</v>
      </c>
      <c r="AJ52" s="49" t="e">
        <f t="shared" si="24"/>
        <v>#DIV/0!</v>
      </c>
      <c r="AK52" s="49" t="e">
        <f t="shared" si="24"/>
        <v>#DIV/0!</v>
      </c>
      <c r="AL52" s="49" t="e">
        <f t="shared" si="24"/>
        <v>#DIV/0!</v>
      </c>
      <c r="AM52" s="49" t="e">
        <f t="shared" si="24"/>
        <v>#DIV/0!</v>
      </c>
      <c r="AN52" s="49" t="e">
        <f t="shared" si="24"/>
        <v>#DIV/0!</v>
      </c>
      <c r="AO52" s="49" t="e">
        <f t="shared" si="24"/>
        <v>#DIV/0!</v>
      </c>
      <c r="AP52" s="43"/>
      <c r="AQ52" s="43">
        <f t="shared" si="22"/>
        <v>0</v>
      </c>
      <c r="AR52" s="43">
        <f t="shared" si="23"/>
        <v>0</v>
      </c>
      <c r="BB52" s="24">
        <v>45</v>
      </c>
      <c r="BC52" s="41">
        <f t="shared" si="13"/>
        <v>0</v>
      </c>
      <c r="BD52" s="26">
        <f t="shared" si="10"/>
        <v>-1.0000000000000001E-5</v>
      </c>
      <c r="BE52" s="27">
        <f t="shared" si="14"/>
        <v>-5.0000000000000004E-6</v>
      </c>
      <c r="BF52" s="28">
        <f t="shared" si="15"/>
        <v>-1.0000000000000001E-5</v>
      </c>
      <c r="BG52" s="29">
        <f t="shared" si="16"/>
        <v>0</v>
      </c>
      <c r="BH52" s="30" t="e">
        <f t="shared" si="25"/>
        <v>#DIV/0!</v>
      </c>
      <c r="BI52" s="31">
        <f t="shared" si="19"/>
        <v>0</v>
      </c>
      <c r="BJ52" s="30" t="e">
        <f t="shared" si="26"/>
        <v>#DIV/0!</v>
      </c>
      <c r="BK52" s="32" t="e">
        <f t="shared" si="17"/>
        <v>#DIV/0!</v>
      </c>
      <c r="BM52" s="43" t="e">
        <f t="shared" si="18"/>
        <v>#DIV/0!</v>
      </c>
    </row>
    <row r="53" spans="2:65" s="4" customFormat="1" ht="24.95" customHeight="1" x14ac:dyDescent="0.3">
      <c r="B53" s="18">
        <v>49</v>
      </c>
      <c r="C53" s="21" t="str">
        <f>IF('Eingabe und Diagramm'!C53="","",'Eingabe und Diagramm'!C53)</f>
        <v/>
      </c>
      <c r="D53" s="20"/>
      <c r="E53" s="18">
        <v>99</v>
      </c>
      <c r="F53" s="21" t="str">
        <f>IF('Eingabe und Diagramm'!F53="","",'Eingabe und Diagramm'!F53)</f>
        <v/>
      </c>
      <c r="G53" s="22"/>
      <c r="H53" s="23">
        <v>149</v>
      </c>
      <c r="I53" s="21" t="str">
        <f>IF('Eingabe und Diagramm'!I53="","",'Eingabe und Diagramm'!I53)</f>
        <v/>
      </c>
      <c r="J53" s="22"/>
      <c r="K53" s="23">
        <v>199</v>
      </c>
      <c r="L53" s="21" t="str">
        <f>IF('Eingabe und Diagramm'!L53="","",'Eingabe und Diagramm'!L53)</f>
        <v/>
      </c>
      <c r="N53" s="117"/>
      <c r="O53" s="117"/>
      <c r="P53" s="117"/>
      <c r="Q53" s="50"/>
      <c r="R53" s="100"/>
      <c r="S53" s="159" t="s">
        <v>158</v>
      </c>
      <c r="U53" s="100"/>
      <c r="V53" s="100"/>
      <c r="W53" s="100"/>
      <c r="X53" s="100"/>
      <c r="Y53" s="100"/>
      <c r="AA53" s="2"/>
      <c r="AB53" s="2"/>
      <c r="AC53" s="2"/>
      <c r="AD53" s="43">
        <v>49</v>
      </c>
      <c r="AE53" s="43">
        <f t="shared" si="21"/>
        <v>0</v>
      </c>
      <c r="AF53" s="43" t="str">
        <f t="shared" si="8"/>
        <v>OGW</v>
      </c>
      <c r="AG53" s="43" t="str">
        <f t="shared" si="6"/>
        <v>OGW</v>
      </c>
      <c r="AH53" s="43" t="e">
        <f t="shared" si="9"/>
        <v>#DIV/0!</v>
      </c>
      <c r="AI53" s="49" t="e">
        <f t="shared" si="24"/>
        <v>#DIV/0!</v>
      </c>
      <c r="AJ53" s="49" t="e">
        <f t="shared" si="24"/>
        <v>#DIV/0!</v>
      </c>
      <c r="AK53" s="49" t="e">
        <f t="shared" si="24"/>
        <v>#DIV/0!</v>
      </c>
      <c r="AL53" s="49" t="e">
        <f t="shared" si="24"/>
        <v>#DIV/0!</v>
      </c>
      <c r="AM53" s="49" t="e">
        <f t="shared" si="24"/>
        <v>#DIV/0!</v>
      </c>
      <c r="AN53" s="49" t="e">
        <f t="shared" si="24"/>
        <v>#DIV/0!</v>
      </c>
      <c r="AO53" s="49" t="e">
        <f t="shared" si="24"/>
        <v>#DIV/0!</v>
      </c>
      <c r="AP53" s="43"/>
      <c r="AQ53" s="43">
        <f t="shared" si="22"/>
        <v>0</v>
      </c>
      <c r="AR53" s="43">
        <f t="shared" si="23"/>
        <v>0</v>
      </c>
      <c r="BB53" s="24">
        <v>46</v>
      </c>
      <c r="BC53" s="41">
        <f t="shared" si="13"/>
        <v>0</v>
      </c>
      <c r="BD53" s="26">
        <f t="shared" si="10"/>
        <v>-1.0000000000000001E-5</v>
      </c>
      <c r="BE53" s="27">
        <f t="shared" si="14"/>
        <v>-5.0000000000000004E-6</v>
      </c>
      <c r="BF53" s="28">
        <f t="shared" si="15"/>
        <v>-1.0000000000000001E-5</v>
      </c>
      <c r="BG53" s="29">
        <f t="shared" si="16"/>
        <v>0</v>
      </c>
      <c r="BH53" s="30" t="e">
        <f t="shared" si="25"/>
        <v>#DIV/0!</v>
      </c>
      <c r="BI53" s="31">
        <f t="shared" si="19"/>
        <v>0</v>
      </c>
      <c r="BJ53" s="30" t="e">
        <f t="shared" si="26"/>
        <v>#DIV/0!</v>
      </c>
      <c r="BK53" s="32" t="e">
        <f t="shared" si="17"/>
        <v>#DIV/0!</v>
      </c>
      <c r="BM53" s="43" t="e">
        <f t="shared" si="18"/>
        <v>#DIV/0!</v>
      </c>
    </row>
    <row r="54" spans="2:65" s="4" customFormat="1" ht="24.95" customHeight="1" x14ac:dyDescent="0.3">
      <c r="B54" s="62">
        <v>50</v>
      </c>
      <c r="C54" s="173" t="str">
        <f>IF('Eingabe und Diagramm'!C54="","",'Eingabe und Diagramm'!C54)</f>
        <v/>
      </c>
      <c r="D54" s="63"/>
      <c r="E54" s="62">
        <v>100</v>
      </c>
      <c r="F54" s="173" t="str">
        <f>IF('Eingabe und Diagramm'!F54="","",'Eingabe und Diagramm'!F54)</f>
        <v/>
      </c>
      <c r="G54" s="64"/>
      <c r="H54" s="65">
        <v>150</v>
      </c>
      <c r="I54" s="173" t="str">
        <f>IF('Eingabe und Diagramm'!I54="","",'Eingabe und Diagramm'!I54)</f>
        <v/>
      </c>
      <c r="J54" s="64"/>
      <c r="K54" s="65">
        <v>200</v>
      </c>
      <c r="L54" s="173" t="str">
        <f>IF('Eingabe und Diagramm'!L54="","",'Eingabe und Diagramm'!L54)</f>
        <v/>
      </c>
      <c r="N54" s="117"/>
      <c r="O54" s="117"/>
      <c r="P54" s="117"/>
      <c r="Q54" s="117"/>
      <c r="R54" s="117"/>
      <c r="S54" s="159" t="s">
        <v>159</v>
      </c>
      <c r="U54" s="117"/>
      <c r="V54" s="50"/>
      <c r="W54" s="50"/>
      <c r="X54" s="50"/>
      <c r="Y54" s="50"/>
      <c r="AA54" s="2"/>
      <c r="AB54" s="2"/>
      <c r="AC54" s="2"/>
      <c r="AD54" s="43">
        <v>50</v>
      </c>
      <c r="AE54" s="43">
        <f t="shared" si="21"/>
        <v>0</v>
      </c>
      <c r="AF54" s="43" t="str">
        <f t="shared" si="8"/>
        <v>OGW</v>
      </c>
      <c r="AG54" s="43" t="str">
        <f t="shared" si="6"/>
        <v>OGW</v>
      </c>
      <c r="AH54" s="43" t="e">
        <f t="shared" si="9"/>
        <v>#DIV/0!</v>
      </c>
      <c r="AI54" s="49" t="e">
        <f t="shared" ref="AI54:AO69" si="27">AI53</f>
        <v>#DIV/0!</v>
      </c>
      <c r="AJ54" s="49" t="e">
        <f t="shared" si="27"/>
        <v>#DIV/0!</v>
      </c>
      <c r="AK54" s="49" t="e">
        <f t="shared" si="27"/>
        <v>#DIV/0!</v>
      </c>
      <c r="AL54" s="49" t="e">
        <f t="shared" si="27"/>
        <v>#DIV/0!</v>
      </c>
      <c r="AM54" s="49" t="e">
        <f t="shared" si="27"/>
        <v>#DIV/0!</v>
      </c>
      <c r="AN54" s="49" t="e">
        <f t="shared" si="27"/>
        <v>#DIV/0!</v>
      </c>
      <c r="AO54" s="49" t="e">
        <f t="shared" si="27"/>
        <v>#DIV/0!</v>
      </c>
      <c r="AP54" s="43"/>
      <c r="AQ54" s="43">
        <f t="shared" si="22"/>
        <v>0</v>
      </c>
      <c r="AR54" s="43">
        <f t="shared" si="23"/>
        <v>0</v>
      </c>
      <c r="BB54" s="24">
        <v>47</v>
      </c>
      <c r="BC54" s="41">
        <f t="shared" si="13"/>
        <v>0</v>
      </c>
      <c r="BD54" s="26">
        <f t="shared" si="10"/>
        <v>-1.0000000000000001E-5</v>
      </c>
      <c r="BE54" s="27">
        <f t="shared" si="14"/>
        <v>-5.0000000000000004E-6</v>
      </c>
      <c r="BF54" s="28">
        <f t="shared" si="15"/>
        <v>-1.0000000000000001E-5</v>
      </c>
      <c r="BG54" s="29">
        <f t="shared" si="16"/>
        <v>0</v>
      </c>
      <c r="BH54" s="30" t="e">
        <f t="shared" si="25"/>
        <v>#DIV/0!</v>
      </c>
      <c r="BI54" s="31">
        <f t="shared" si="19"/>
        <v>0</v>
      </c>
      <c r="BJ54" s="30" t="e">
        <f t="shared" si="26"/>
        <v>#DIV/0!</v>
      </c>
      <c r="BK54" s="32" t="e">
        <f t="shared" si="17"/>
        <v>#DIV/0!</v>
      </c>
      <c r="BM54" s="43" t="e">
        <f t="shared" si="18"/>
        <v>#DIV/0!</v>
      </c>
    </row>
    <row r="55" spans="2:65" x14ac:dyDescent="0.3">
      <c r="C55" s="174" t="str">
        <f>IF(F5="","",F5)</f>
        <v/>
      </c>
      <c r="AD55" s="33">
        <v>51</v>
      </c>
      <c r="AE55" s="33">
        <f t="shared" si="21"/>
        <v>0</v>
      </c>
      <c r="AF55" s="33" t="str">
        <f t="shared" si="8"/>
        <v>OGW</v>
      </c>
      <c r="AG55" s="43" t="str">
        <f t="shared" si="6"/>
        <v>OGW</v>
      </c>
      <c r="AH55" s="33" t="e">
        <f t="shared" si="9"/>
        <v>#DIV/0!</v>
      </c>
      <c r="AI55" s="35" t="e">
        <f t="shared" si="27"/>
        <v>#DIV/0!</v>
      </c>
      <c r="AJ55" s="35" t="e">
        <f t="shared" si="27"/>
        <v>#DIV/0!</v>
      </c>
      <c r="AK55" s="35" t="e">
        <f t="shared" si="27"/>
        <v>#DIV/0!</v>
      </c>
      <c r="AL55" s="35" t="e">
        <f t="shared" si="27"/>
        <v>#DIV/0!</v>
      </c>
      <c r="AM55" s="35" t="e">
        <f t="shared" si="27"/>
        <v>#DIV/0!</v>
      </c>
      <c r="AN55" s="35" t="e">
        <f t="shared" si="27"/>
        <v>#DIV/0!</v>
      </c>
      <c r="AO55" s="35" t="e">
        <f t="shared" si="27"/>
        <v>#DIV/0!</v>
      </c>
      <c r="AP55" s="33"/>
      <c r="AQ55" s="43">
        <f t="shared" si="22"/>
        <v>0</v>
      </c>
      <c r="AR55" s="43">
        <f t="shared" si="23"/>
        <v>0</v>
      </c>
      <c r="BB55" s="24">
        <v>48</v>
      </c>
      <c r="BC55" s="42">
        <f t="shared" si="13"/>
        <v>0</v>
      </c>
      <c r="BD55" s="26">
        <f t="shared" si="10"/>
        <v>-1.0000000000000001E-5</v>
      </c>
      <c r="BE55" s="27">
        <f t="shared" si="14"/>
        <v>-5.0000000000000004E-6</v>
      </c>
      <c r="BF55" s="28">
        <f t="shared" si="15"/>
        <v>-1.0000000000000001E-5</v>
      </c>
      <c r="BG55" s="29">
        <f t="shared" si="16"/>
        <v>0</v>
      </c>
      <c r="BH55" s="30" t="e">
        <f t="shared" si="25"/>
        <v>#DIV/0!</v>
      </c>
      <c r="BI55" s="31">
        <f t="shared" si="19"/>
        <v>0</v>
      </c>
      <c r="BJ55" s="30" t="e">
        <f t="shared" si="26"/>
        <v>#DIV/0!</v>
      </c>
      <c r="BK55" s="32" t="e">
        <f t="shared" si="17"/>
        <v>#DIV/0!</v>
      </c>
      <c r="BM55" s="33" t="e">
        <f t="shared" si="18"/>
        <v>#DIV/0!</v>
      </c>
    </row>
    <row r="56" spans="2:65" x14ac:dyDescent="0.3">
      <c r="C56" s="174" t="str">
        <f>IF(F6="","",F6)</f>
        <v/>
      </c>
      <c r="AD56" s="33">
        <v>52</v>
      </c>
      <c r="AE56" s="33">
        <f t="shared" si="21"/>
        <v>0</v>
      </c>
      <c r="AF56" s="33" t="str">
        <f t="shared" si="8"/>
        <v>OGW</v>
      </c>
      <c r="AG56" s="43" t="str">
        <f t="shared" si="6"/>
        <v>OGW</v>
      </c>
      <c r="AH56" s="33" t="e">
        <f t="shared" si="9"/>
        <v>#DIV/0!</v>
      </c>
      <c r="AI56" s="35" t="e">
        <f t="shared" si="27"/>
        <v>#DIV/0!</v>
      </c>
      <c r="AJ56" s="35" t="e">
        <f t="shared" si="27"/>
        <v>#DIV/0!</v>
      </c>
      <c r="AK56" s="35" t="e">
        <f t="shared" si="27"/>
        <v>#DIV/0!</v>
      </c>
      <c r="AL56" s="35" t="e">
        <f t="shared" si="27"/>
        <v>#DIV/0!</v>
      </c>
      <c r="AM56" s="35" t="e">
        <f t="shared" si="27"/>
        <v>#DIV/0!</v>
      </c>
      <c r="AN56" s="35" t="e">
        <f t="shared" si="27"/>
        <v>#DIV/0!</v>
      </c>
      <c r="AO56" s="35" t="e">
        <f t="shared" si="27"/>
        <v>#DIV/0!</v>
      </c>
      <c r="AP56" s="33"/>
      <c r="AQ56" s="43">
        <f t="shared" si="22"/>
        <v>0</v>
      </c>
      <c r="AR56" s="43">
        <f t="shared" si="23"/>
        <v>0</v>
      </c>
      <c r="BB56" s="24">
        <v>49</v>
      </c>
      <c r="BC56" s="42">
        <f t="shared" si="13"/>
        <v>0</v>
      </c>
      <c r="BD56" s="26">
        <f t="shared" si="10"/>
        <v>-1.0000000000000001E-5</v>
      </c>
      <c r="BE56" s="27">
        <f t="shared" si="14"/>
        <v>-5.0000000000000004E-6</v>
      </c>
      <c r="BF56" s="28">
        <f t="shared" si="15"/>
        <v>-1.0000000000000001E-5</v>
      </c>
      <c r="BG56" s="29">
        <f t="shared" si="16"/>
        <v>0</v>
      </c>
      <c r="BH56" s="30" t="e">
        <f t="shared" si="25"/>
        <v>#DIV/0!</v>
      </c>
      <c r="BI56" s="31">
        <f t="shared" si="19"/>
        <v>0</v>
      </c>
      <c r="BJ56" s="30" t="e">
        <f t="shared" si="26"/>
        <v>#DIV/0!</v>
      </c>
      <c r="BK56" s="32" t="e">
        <f t="shared" si="17"/>
        <v>#DIV/0!</v>
      </c>
      <c r="BM56" s="33" t="e">
        <f t="shared" si="18"/>
        <v>#DIV/0!</v>
      </c>
    </row>
    <row r="57" spans="2:65" x14ac:dyDescent="0.3">
      <c r="C57" s="174" t="str">
        <f>IF(F7="","",F7)</f>
        <v/>
      </c>
      <c r="F57" s="66"/>
      <c r="G57" s="67"/>
      <c r="H57" s="67"/>
      <c r="I57" s="66"/>
      <c r="J57" s="67"/>
      <c r="K57" s="67"/>
      <c r="L57" s="66"/>
      <c r="AD57" s="33">
        <v>53</v>
      </c>
      <c r="AE57" s="33">
        <f t="shared" si="21"/>
        <v>0</v>
      </c>
      <c r="AF57" s="33" t="str">
        <f t="shared" si="8"/>
        <v>OGW</v>
      </c>
      <c r="AG57" s="43" t="str">
        <f t="shared" si="6"/>
        <v>OGW</v>
      </c>
      <c r="AH57" s="33" t="e">
        <f t="shared" si="9"/>
        <v>#DIV/0!</v>
      </c>
      <c r="AI57" s="35" t="e">
        <f t="shared" si="27"/>
        <v>#DIV/0!</v>
      </c>
      <c r="AJ57" s="35" t="e">
        <f t="shared" si="27"/>
        <v>#DIV/0!</v>
      </c>
      <c r="AK57" s="35" t="e">
        <f t="shared" si="27"/>
        <v>#DIV/0!</v>
      </c>
      <c r="AL57" s="35" t="e">
        <f t="shared" si="27"/>
        <v>#DIV/0!</v>
      </c>
      <c r="AM57" s="35" t="e">
        <f t="shared" si="27"/>
        <v>#DIV/0!</v>
      </c>
      <c r="AN57" s="35" t="e">
        <f t="shared" si="27"/>
        <v>#DIV/0!</v>
      </c>
      <c r="AO57" s="35" t="e">
        <f t="shared" si="27"/>
        <v>#DIV/0!</v>
      </c>
      <c r="AP57" s="33"/>
      <c r="AQ57" s="43">
        <f t="shared" si="22"/>
        <v>0</v>
      </c>
      <c r="AR57" s="43">
        <f t="shared" si="23"/>
        <v>0</v>
      </c>
      <c r="BB57" s="24">
        <v>50</v>
      </c>
      <c r="BC57" s="42">
        <f t="shared" si="13"/>
        <v>0</v>
      </c>
      <c r="BD57" s="26">
        <f t="shared" si="10"/>
        <v>-1.0000000000000001E-5</v>
      </c>
      <c r="BE57" s="27">
        <f t="shared" si="14"/>
        <v>-5.0000000000000004E-6</v>
      </c>
      <c r="BF57" s="28">
        <f t="shared" si="15"/>
        <v>-1.0000000000000001E-5</v>
      </c>
      <c r="BG57" s="29">
        <f t="shared" si="16"/>
        <v>0</v>
      </c>
      <c r="BH57" s="30" t="e">
        <f t="shared" si="25"/>
        <v>#DIV/0!</v>
      </c>
      <c r="BI57" s="31">
        <f t="shared" si="19"/>
        <v>0</v>
      </c>
      <c r="BJ57" s="30" t="e">
        <f t="shared" si="26"/>
        <v>#DIV/0!</v>
      </c>
      <c r="BK57" s="32" t="e">
        <f t="shared" si="17"/>
        <v>#DIV/0!</v>
      </c>
      <c r="BM57" s="33" t="e">
        <f t="shared" si="18"/>
        <v>#DIV/0!</v>
      </c>
    </row>
    <row r="58" spans="2:65" ht="21" x14ac:dyDescent="0.35">
      <c r="C58" s="174" t="str">
        <f t="shared" ref="C58:C104" si="28">IF(F8="","",F8)</f>
        <v/>
      </c>
      <c r="P58" s="277" t="s">
        <v>59</v>
      </c>
      <c r="Q58" s="277"/>
      <c r="R58" s="277"/>
      <c r="S58" s="277"/>
      <c r="T58" s="277"/>
      <c r="U58" s="277"/>
      <c r="V58" s="277"/>
      <c r="W58" s="277"/>
      <c r="X58" s="277"/>
      <c r="Y58" s="277"/>
      <c r="AD58" s="33">
        <v>54</v>
      </c>
      <c r="AE58" s="33">
        <f t="shared" si="21"/>
        <v>0</v>
      </c>
      <c r="AF58" s="33" t="str">
        <f t="shared" si="8"/>
        <v>OGW</v>
      </c>
      <c r="AG58" s="43" t="str">
        <f t="shared" si="6"/>
        <v>OGW</v>
      </c>
      <c r="AH58" s="33" t="e">
        <f t="shared" si="9"/>
        <v>#DIV/0!</v>
      </c>
      <c r="AI58" s="35" t="e">
        <f t="shared" si="27"/>
        <v>#DIV/0!</v>
      </c>
      <c r="AJ58" s="35" t="e">
        <f t="shared" si="27"/>
        <v>#DIV/0!</v>
      </c>
      <c r="AK58" s="35" t="e">
        <f t="shared" si="27"/>
        <v>#DIV/0!</v>
      </c>
      <c r="AL58" s="35" t="e">
        <f t="shared" si="27"/>
        <v>#DIV/0!</v>
      </c>
      <c r="AM58" s="35" t="e">
        <f t="shared" si="27"/>
        <v>#DIV/0!</v>
      </c>
      <c r="AN58" s="35" t="e">
        <f t="shared" si="27"/>
        <v>#DIV/0!</v>
      </c>
      <c r="AO58" s="35" t="e">
        <f t="shared" si="27"/>
        <v>#DIV/0!</v>
      </c>
      <c r="AP58" s="33"/>
      <c r="AQ58" s="43">
        <f t="shared" si="22"/>
        <v>0</v>
      </c>
      <c r="AR58" s="43">
        <f t="shared" si="23"/>
        <v>0</v>
      </c>
      <c r="BB58" s="24">
        <v>51</v>
      </c>
      <c r="BC58" s="42">
        <f t="shared" si="13"/>
        <v>0</v>
      </c>
      <c r="BD58" s="26">
        <f t="shared" si="10"/>
        <v>-1.0000000000000001E-5</v>
      </c>
      <c r="BE58" s="27">
        <f t="shared" si="14"/>
        <v>-5.0000000000000004E-6</v>
      </c>
      <c r="BF58" s="28">
        <f t="shared" si="15"/>
        <v>-1.0000000000000001E-5</v>
      </c>
      <c r="BG58" s="29">
        <f t="shared" si="16"/>
        <v>0</v>
      </c>
      <c r="BH58" s="30" t="e">
        <f t="shared" si="25"/>
        <v>#DIV/0!</v>
      </c>
      <c r="BI58" s="31">
        <f t="shared" si="19"/>
        <v>0</v>
      </c>
      <c r="BJ58" s="30" t="e">
        <f t="shared" si="26"/>
        <v>#DIV/0!</v>
      </c>
      <c r="BK58" s="32" t="e">
        <f t="shared" si="17"/>
        <v>#DIV/0!</v>
      </c>
      <c r="BM58" s="33" t="e">
        <f t="shared" si="18"/>
        <v>#DIV/0!</v>
      </c>
    </row>
    <row r="59" spans="2:65" x14ac:dyDescent="0.3">
      <c r="C59" s="174" t="str">
        <f t="shared" si="28"/>
        <v/>
      </c>
      <c r="P59" s="33"/>
      <c r="Q59" s="33"/>
      <c r="R59" s="33"/>
      <c r="S59" s="33"/>
      <c r="T59" s="33"/>
      <c r="U59" s="33"/>
      <c r="V59" s="33"/>
      <c r="W59" s="33"/>
      <c r="X59" s="33"/>
      <c r="Y59" s="33"/>
      <c r="AD59" s="33">
        <v>55</v>
      </c>
      <c r="AE59" s="33">
        <f t="shared" si="21"/>
        <v>0</v>
      </c>
      <c r="AF59" s="33" t="str">
        <f t="shared" si="8"/>
        <v>OGW</v>
      </c>
      <c r="AG59" s="43" t="str">
        <f t="shared" si="6"/>
        <v>OGW</v>
      </c>
      <c r="AH59" s="33" t="e">
        <f t="shared" si="9"/>
        <v>#DIV/0!</v>
      </c>
      <c r="AI59" s="35" t="e">
        <f t="shared" si="27"/>
        <v>#DIV/0!</v>
      </c>
      <c r="AJ59" s="35" t="e">
        <f t="shared" si="27"/>
        <v>#DIV/0!</v>
      </c>
      <c r="AK59" s="35" t="e">
        <f t="shared" si="27"/>
        <v>#DIV/0!</v>
      </c>
      <c r="AL59" s="35" t="e">
        <f t="shared" si="27"/>
        <v>#DIV/0!</v>
      </c>
      <c r="AM59" s="35" t="e">
        <f t="shared" si="27"/>
        <v>#DIV/0!</v>
      </c>
      <c r="AN59" s="35" t="e">
        <f t="shared" si="27"/>
        <v>#DIV/0!</v>
      </c>
      <c r="AO59" s="35" t="e">
        <f t="shared" si="27"/>
        <v>#DIV/0!</v>
      </c>
      <c r="AP59" s="33"/>
      <c r="AQ59" s="43">
        <f t="shared" si="22"/>
        <v>0</v>
      </c>
      <c r="AR59" s="43">
        <f t="shared" si="23"/>
        <v>0</v>
      </c>
      <c r="BB59" s="24">
        <v>52</v>
      </c>
      <c r="BC59" s="42">
        <f t="shared" si="13"/>
        <v>0</v>
      </c>
      <c r="BD59" s="26">
        <f t="shared" si="10"/>
        <v>-1.0000000000000001E-5</v>
      </c>
      <c r="BE59" s="27">
        <f t="shared" si="14"/>
        <v>-5.0000000000000004E-6</v>
      </c>
      <c r="BF59" s="28">
        <f t="shared" si="15"/>
        <v>-1.0000000000000001E-5</v>
      </c>
      <c r="BG59" s="29">
        <f t="shared" si="16"/>
        <v>0</v>
      </c>
      <c r="BH59" s="30" t="e">
        <f t="shared" si="25"/>
        <v>#DIV/0!</v>
      </c>
      <c r="BI59" s="31">
        <f t="shared" si="19"/>
        <v>0</v>
      </c>
      <c r="BJ59" s="30" t="e">
        <f t="shared" si="26"/>
        <v>#DIV/0!</v>
      </c>
      <c r="BK59" s="32" t="e">
        <f t="shared" si="17"/>
        <v>#DIV/0!</v>
      </c>
      <c r="BM59" s="33" t="e">
        <f t="shared" si="18"/>
        <v>#DIV/0!</v>
      </c>
    </row>
    <row r="60" spans="2:65" x14ac:dyDescent="0.3">
      <c r="C60" s="174" t="str">
        <f t="shared" si="28"/>
        <v/>
      </c>
      <c r="P60" s="59" t="s">
        <v>10</v>
      </c>
      <c r="Q60" s="59" t="s">
        <v>11</v>
      </c>
      <c r="R60" s="59" t="s">
        <v>12</v>
      </c>
      <c r="S60" s="59"/>
      <c r="T60" s="59"/>
      <c r="U60" s="59" t="s">
        <v>13</v>
      </c>
      <c r="V60" s="59" t="s">
        <v>14</v>
      </c>
      <c r="W60" s="59"/>
      <c r="X60" s="59"/>
      <c r="Y60" s="59" t="s">
        <v>15</v>
      </c>
      <c r="AD60" s="33">
        <v>56</v>
      </c>
      <c r="AE60" s="33">
        <f t="shared" si="21"/>
        <v>0</v>
      </c>
      <c r="AF60" s="33" t="str">
        <f t="shared" si="8"/>
        <v>OGW</v>
      </c>
      <c r="AG60" s="43" t="str">
        <f t="shared" si="6"/>
        <v>OGW</v>
      </c>
      <c r="AH60" s="33" t="e">
        <f t="shared" si="9"/>
        <v>#DIV/0!</v>
      </c>
      <c r="AI60" s="35" t="e">
        <f t="shared" si="27"/>
        <v>#DIV/0!</v>
      </c>
      <c r="AJ60" s="35" t="e">
        <f t="shared" si="27"/>
        <v>#DIV/0!</v>
      </c>
      <c r="AK60" s="35" t="e">
        <f t="shared" si="27"/>
        <v>#DIV/0!</v>
      </c>
      <c r="AL60" s="35" t="e">
        <f t="shared" si="27"/>
        <v>#DIV/0!</v>
      </c>
      <c r="AM60" s="35" t="e">
        <f t="shared" si="27"/>
        <v>#DIV/0!</v>
      </c>
      <c r="AN60" s="35" t="e">
        <f t="shared" si="27"/>
        <v>#DIV/0!</v>
      </c>
      <c r="AO60" s="35" t="e">
        <f t="shared" si="27"/>
        <v>#DIV/0!</v>
      </c>
      <c r="AP60" s="33"/>
      <c r="AQ60" s="43">
        <f t="shared" si="22"/>
        <v>0</v>
      </c>
      <c r="AR60" s="43">
        <f t="shared" si="23"/>
        <v>0</v>
      </c>
      <c r="BB60" s="24">
        <v>53</v>
      </c>
      <c r="BC60" s="42">
        <f t="shared" si="13"/>
        <v>0</v>
      </c>
      <c r="BD60" s="26">
        <f t="shared" si="10"/>
        <v>-1.0000000000000001E-5</v>
      </c>
      <c r="BE60" s="27">
        <f t="shared" si="14"/>
        <v>-5.0000000000000004E-6</v>
      </c>
      <c r="BF60" s="28">
        <f t="shared" si="15"/>
        <v>-1.0000000000000001E-5</v>
      </c>
      <c r="BG60" s="29">
        <f t="shared" si="16"/>
        <v>0</v>
      </c>
      <c r="BH60" s="30" t="e">
        <f t="shared" si="25"/>
        <v>#DIV/0!</v>
      </c>
      <c r="BI60" s="31">
        <f t="shared" si="19"/>
        <v>0</v>
      </c>
      <c r="BJ60" s="30" t="e">
        <f t="shared" si="26"/>
        <v>#DIV/0!</v>
      </c>
      <c r="BK60" s="32" t="e">
        <f t="shared" si="17"/>
        <v>#DIV/0!</v>
      </c>
      <c r="BM60" s="33" t="e">
        <f t="shared" si="18"/>
        <v>#DIV/0!</v>
      </c>
    </row>
    <row r="61" spans="2:65" x14ac:dyDescent="0.3">
      <c r="C61" s="174" t="str">
        <f t="shared" si="28"/>
        <v/>
      </c>
      <c r="P61" s="39" t="s">
        <v>16</v>
      </c>
      <c r="Q61" s="39" t="s">
        <v>17</v>
      </c>
      <c r="R61" s="39" t="s">
        <v>17</v>
      </c>
      <c r="S61" s="39" t="s">
        <v>17</v>
      </c>
      <c r="T61" s="39" t="s">
        <v>17</v>
      </c>
      <c r="U61" s="39" t="s">
        <v>18</v>
      </c>
      <c r="V61" s="39" t="s">
        <v>18</v>
      </c>
      <c r="W61" s="39" t="s">
        <v>13</v>
      </c>
      <c r="X61" s="39" t="s">
        <v>14</v>
      </c>
      <c r="Y61" s="39" t="s">
        <v>19</v>
      </c>
      <c r="AD61" s="33">
        <v>57</v>
      </c>
      <c r="AE61" s="33">
        <f t="shared" si="21"/>
        <v>0</v>
      </c>
      <c r="AF61" s="33" t="str">
        <f t="shared" si="8"/>
        <v>OGW</v>
      </c>
      <c r="AG61" s="43" t="str">
        <f t="shared" si="6"/>
        <v>OGW</v>
      </c>
      <c r="AH61" s="33" t="e">
        <f t="shared" si="9"/>
        <v>#DIV/0!</v>
      </c>
      <c r="AI61" s="35" t="e">
        <f t="shared" si="27"/>
        <v>#DIV/0!</v>
      </c>
      <c r="AJ61" s="35" t="e">
        <f t="shared" si="27"/>
        <v>#DIV/0!</v>
      </c>
      <c r="AK61" s="35" t="e">
        <f t="shared" si="27"/>
        <v>#DIV/0!</v>
      </c>
      <c r="AL61" s="35" t="e">
        <f t="shared" si="27"/>
        <v>#DIV/0!</v>
      </c>
      <c r="AM61" s="35" t="e">
        <f t="shared" si="27"/>
        <v>#DIV/0!</v>
      </c>
      <c r="AN61" s="35" t="e">
        <f t="shared" si="27"/>
        <v>#DIV/0!</v>
      </c>
      <c r="AO61" s="35" t="e">
        <f t="shared" si="27"/>
        <v>#DIV/0!</v>
      </c>
      <c r="AP61" s="33"/>
      <c r="AQ61" s="43">
        <f t="shared" si="22"/>
        <v>0</v>
      </c>
      <c r="AR61" s="43">
        <f t="shared" si="23"/>
        <v>0</v>
      </c>
      <c r="BB61" s="24">
        <v>54</v>
      </c>
      <c r="BC61" s="42">
        <f t="shared" si="13"/>
        <v>0</v>
      </c>
      <c r="BD61" s="26">
        <f t="shared" si="10"/>
        <v>-1.0000000000000001E-5</v>
      </c>
      <c r="BE61" s="27">
        <f t="shared" si="14"/>
        <v>-5.0000000000000004E-6</v>
      </c>
      <c r="BF61" s="28">
        <f t="shared" si="15"/>
        <v>-1.0000000000000001E-5</v>
      </c>
      <c r="BG61" s="29">
        <f t="shared" si="16"/>
        <v>0</v>
      </c>
      <c r="BH61" s="30" t="e">
        <f t="shared" si="25"/>
        <v>#DIV/0!</v>
      </c>
      <c r="BI61" s="31">
        <f t="shared" si="19"/>
        <v>0</v>
      </c>
      <c r="BJ61" s="30" t="e">
        <f t="shared" si="26"/>
        <v>#DIV/0!</v>
      </c>
      <c r="BK61" s="32" t="e">
        <f t="shared" si="17"/>
        <v>#DIV/0!</v>
      </c>
      <c r="BM61" s="33" t="e">
        <f t="shared" si="18"/>
        <v>#DIV/0!</v>
      </c>
    </row>
    <row r="62" spans="2:65" x14ac:dyDescent="0.3">
      <c r="C62" s="174" t="str">
        <f t="shared" si="28"/>
        <v/>
      </c>
      <c r="P62" s="60" t="s">
        <v>20</v>
      </c>
      <c r="Q62" s="60" t="s">
        <v>21</v>
      </c>
      <c r="R62" s="60" t="s">
        <v>21</v>
      </c>
      <c r="S62" s="60" t="s">
        <v>22</v>
      </c>
      <c r="T62" s="60" t="s">
        <v>23</v>
      </c>
      <c r="U62" s="60" t="s">
        <v>24</v>
      </c>
      <c r="V62" s="60" t="s">
        <v>24</v>
      </c>
      <c r="W62" s="60" t="s">
        <v>25</v>
      </c>
      <c r="X62" s="60" t="s">
        <v>25</v>
      </c>
      <c r="Y62" s="60" t="s">
        <v>26</v>
      </c>
      <c r="AD62" s="33">
        <v>58</v>
      </c>
      <c r="AE62" s="33">
        <f t="shared" si="21"/>
        <v>0</v>
      </c>
      <c r="AF62" s="33" t="str">
        <f t="shared" si="8"/>
        <v>OGW</v>
      </c>
      <c r="AG62" s="43" t="str">
        <f t="shared" si="6"/>
        <v>OGW</v>
      </c>
      <c r="AH62" s="33" t="e">
        <f t="shared" si="9"/>
        <v>#DIV/0!</v>
      </c>
      <c r="AI62" s="35" t="e">
        <f t="shared" si="27"/>
        <v>#DIV/0!</v>
      </c>
      <c r="AJ62" s="35" t="e">
        <f t="shared" si="27"/>
        <v>#DIV/0!</v>
      </c>
      <c r="AK62" s="35" t="e">
        <f t="shared" si="27"/>
        <v>#DIV/0!</v>
      </c>
      <c r="AL62" s="35" t="e">
        <f t="shared" si="27"/>
        <v>#DIV/0!</v>
      </c>
      <c r="AM62" s="35" t="e">
        <f t="shared" si="27"/>
        <v>#DIV/0!</v>
      </c>
      <c r="AN62" s="35" t="e">
        <f t="shared" si="27"/>
        <v>#DIV/0!</v>
      </c>
      <c r="AO62" s="35" t="e">
        <f t="shared" si="27"/>
        <v>#DIV/0!</v>
      </c>
      <c r="AP62" s="33"/>
      <c r="AQ62" s="43">
        <f t="shared" si="22"/>
        <v>0</v>
      </c>
      <c r="AR62" s="43">
        <f t="shared" si="23"/>
        <v>0</v>
      </c>
      <c r="BB62" s="24">
        <v>55</v>
      </c>
      <c r="BC62" s="42">
        <f t="shared" si="13"/>
        <v>0</v>
      </c>
      <c r="BD62" s="26">
        <f t="shared" si="10"/>
        <v>-1.0000000000000001E-5</v>
      </c>
      <c r="BE62" s="27">
        <f t="shared" si="14"/>
        <v>-5.0000000000000004E-6</v>
      </c>
      <c r="BF62" s="28">
        <f t="shared" si="15"/>
        <v>-1.0000000000000001E-5</v>
      </c>
      <c r="BG62" s="29">
        <f t="shared" si="16"/>
        <v>0</v>
      </c>
      <c r="BH62" s="30" t="e">
        <f t="shared" si="25"/>
        <v>#DIV/0!</v>
      </c>
      <c r="BI62" s="31">
        <f t="shared" si="19"/>
        <v>0</v>
      </c>
      <c r="BJ62" s="30" t="e">
        <f t="shared" si="26"/>
        <v>#DIV/0!</v>
      </c>
      <c r="BK62" s="32" t="e">
        <f t="shared" si="17"/>
        <v>#DIV/0!</v>
      </c>
      <c r="BM62" s="33" t="e">
        <f t="shared" si="18"/>
        <v>#DIV/0!</v>
      </c>
    </row>
    <row r="63" spans="2:65" ht="21" x14ac:dyDescent="0.35">
      <c r="C63" s="174" t="str">
        <f t="shared" si="28"/>
        <v/>
      </c>
      <c r="P63" s="61" t="s">
        <v>27</v>
      </c>
      <c r="Q63" s="61" t="s">
        <v>76</v>
      </c>
      <c r="R63" s="61" t="s">
        <v>77</v>
      </c>
      <c r="S63" s="61" t="s">
        <v>78</v>
      </c>
      <c r="T63" s="61" t="s">
        <v>79</v>
      </c>
      <c r="U63" s="61" t="s">
        <v>80</v>
      </c>
      <c r="V63" s="61" t="s">
        <v>81</v>
      </c>
      <c r="W63" s="61" t="s">
        <v>82</v>
      </c>
      <c r="X63" s="61" t="s">
        <v>83</v>
      </c>
      <c r="Y63" s="61" t="s">
        <v>28</v>
      </c>
      <c r="AD63" s="33">
        <v>59</v>
      </c>
      <c r="AE63" s="33">
        <f t="shared" si="21"/>
        <v>0</v>
      </c>
      <c r="AF63" s="33" t="str">
        <f t="shared" si="8"/>
        <v>OGW</v>
      </c>
      <c r="AG63" s="43" t="str">
        <f t="shared" si="6"/>
        <v>OGW</v>
      </c>
      <c r="AH63" s="33" t="e">
        <f t="shared" si="9"/>
        <v>#DIV/0!</v>
      </c>
      <c r="AI63" s="35" t="e">
        <f t="shared" si="27"/>
        <v>#DIV/0!</v>
      </c>
      <c r="AJ63" s="35" t="e">
        <f t="shared" si="27"/>
        <v>#DIV/0!</v>
      </c>
      <c r="AK63" s="35" t="e">
        <f t="shared" si="27"/>
        <v>#DIV/0!</v>
      </c>
      <c r="AL63" s="35" t="e">
        <f t="shared" si="27"/>
        <v>#DIV/0!</v>
      </c>
      <c r="AM63" s="35" t="e">
        <f t="shared" si="27"/>
        <v>#DIV/0!</v>
      </c>
      <c r="AN63" s="35" t="e">
        <f t="shared" si="27"/>
        <v>#DIV/0!</v>
      </c>
      <c r="AO63" s="35" t="e">
        <f t="shared" si="27"/>
        <v>#DIV/0!</v>
      </c>
      <c r="AP63" s="33"/>
      <c r="AQ63" s="43">
        <f t="shared" si="22"/>
        <v>0</v>
      </c>
      <c r="AR63" s="43">
        <f t="shared" si="23"/>
        <v>0</v>
      </c>
      <c r="BB63" s="24">
        <v>56</v>
      </c>
      <c r="BC63" s="42">
        <f t="shared" si="13"/>
        <v>0</v>
      </c>
      <c r="BD63" s="26">
        <f t="shared" si="10"/>
        <v>-1.0000000000000001E-5</v>
      </c>
      <c r="BE63" s="27">
        <f t="shared" si="14"/>
        <v>-5.0000000000000004E-6</v>
      </c>
      <c r="BF63" s="28">
        <f t="shared" si="15"/>
        <v>-1.0000000000000001E-5</v>
      </c>
      <c r="BG63" s="29">
        <f t="shared" si="16"/>
        <v>0</v>
      </c>
      <c r="BH63" s="30" t="e">
        <f t="shared" si="25"/>
        <v>#DIV/0!</v>
      </c>
      <c r="BI63" s="31">
        <f t="shared" si="19"/>
        <v>0</v>
      </c>
      <c r="BJ63" s="30" t="e">
        <f t="shared" si="26"/>
        <v>#DIV/0!</v>
      </c>
      <c r="BK63" s="32" t="e">
        <f t="shared" si="17"/>
        <v>#DIV/0!</v>
      </c>
      <c r="BM63" s="33" t="e">
        <f t="shared" si="18"/>
        <v>#DIV/0!</v>
      </c>
    </row>
    <row r="64" spans="2:65" x14ac:dyDescent="0.3">
      <c r="C64" s="174" t="str">
        <f t="shared" si="28"/>
        <v/>
      </c>
      <c r="P64" s="24">
        <v>1</v>
      </c>
      <c r="Q64" s="25">
        <f>P33</f>
        <v>0</v>
      </c>
      <c r="R64" s="26">
        <f>Q64+T64-0.0000001</f>
        <v>-9.9999999999999995E-8</v>
      </c>
      <c r="S64" s="27">
        <f>(R64+Q64)/2</f>
        <v>-4.9999999999999998E-8</v>
      </c>
      <c r="T64" s="28">
        <f t="shared" ref="T64:T74" si="29">$P$32/11</f>
        <v>0</v>
      </c>
      <c r="U64" s="29">
        <f>FREQUENCY($C$5:$C$204,R64)</f>
        <v>0</v>
      </c>
      <c r="V64" s="30" t="e">
        <f t="shared" ref="V64:V74" si="30">$U64/$P$21</f>
        <v>#DIV/0!</v>
      </c>
      <c r="W64" s="31">
        <f>U64</f>
        <v>0</v>
      </c>
      <c r="X64" s="30" t="e">
        <f t="shared" ref="X64:X74" si="31">W64/$P$21</f>
        <v>#DIV/0!</v>
      </c>
      <c r="Y64" s="32" t="e">
        <f>X64/T64</f>
        <v>#DIV/0!</v>
      </c>
      <c r="AD64" s="33">
        <v>60</v>
      </c>
      <c r="AE64" s="33">
        <f t="shared" si="21"/>
        <v>0</v>
      </c>
      <c r="AF64" s="33" t="str">
        <f t="shared" si="8"/>
        <v>OGW</v>
      </c>
      <c r="AG64" s="43" t="str">
        <f t="shared" si="6"/>
        <v>OGW</v>
      </c>
      <c r="AH64" s="33" t="e">
        <f t="shared" si="9"/>
        <v>#DIV/0!</v>
      </c>
      <c r="AI64" s="35" t="e">
        <f t="shared" si="27"/>
        <v>#DIV/0!</v>
      </c>
      <c r="AJ64" s="35" t="e">
        <f t="shared" si="27"/>
        <v>#DIV/0!</v>
      </c>
      <c r="AK64" s="35" t="e">
        <f t="shared" si="27"/>
        <v>#DIV/0!</v>
      </c>
      <c r="AL64" s="35" t="e">
        <f t="shared" si="27"/>
        <v>#DIV/0!</v>
      </c>
      <c r="AM64" s="35" t="e">
        <f t="shared" si="27"/>
        <v>#DIV/0!</v>
      </c>
      <c r="AN64" s="35" t="e">
        <f t="shared" si="27"/>
        <v>#DIV/0!</v>
      </c>
      <c r="AO64" s="35" t="e">
        <f t="shared" si="27"/>
        <v>#DIV/0!</v>
      </c>
      <c r="AP64" s="33"/>
      <c r="AQ64" s="43">
        <f t="shared" si="22"/>
        <v>0</v>
      </c>
      <c r="AR64" s="43">
        <f t="shared" si="23"/>
        <v>0</v>
      </c>
      <c r="BB64" s="24">
        <v>57</v>
      </c>
      <c r="BC64" s="42">
        <f t="shared" si="13"/>
        <v>0</v>
      </c>
      <c r="BD64" s="26">
        <f t="shared" si="10"/>
        <v>-1.0000000000000001E-5</v>
      </c>
      <c r="BE64" s="27">
        <f t="shared" si="14"/>
        <v>-5.0000000000000004E-6</v>
      </c>
      <c r="BF64" s="28">
        <f t="shared" si="15"/>
        <v>-1.0000000000000001E-5</v>
      </c>
      <c r="BG64" s="29">
        <f t="shared" si="16"/>
        <v>0</v>
      </c>
      <c r="BH64" s="30" t="e">
        <f t="shared" si="25"/>
        <v>#DIV/0!</v>
      </c>
      <c r="BI64" s="31">
        <f t="shared" si="19"/>
        <v>0</v>
      </c>
      <c r="BJ64" s="30" t="e">
        <f t="shared" si="26"/>
        <v>#DIV/0!</v>
      </c>
      <c r="BK64" s="32" t="e">
        <f t="shared" si="17"/>
        <v>#DIV/0!</v>
      </c>
      <c r="BM64" s="33" t="e">
        <f t="shared" si="18"/>
        <v>#DIV/0!</v>
      </c>
    </row>
    <row r="65" spans="3:65" x14ac:dyDescent="0.3">
      <c r="C65" s="174" t="str">
        <f t="shared" si="28"/>
        <v/>
      </c>
      <c r="P65" s="24">
        <v>2</v>
      </c>
      <c r="Q65" s="25">
        <f>Q64+T65</f>
        <v>0</v>
      </c>
      <c r="R65" s="26">
        <f t="shared" ref="R65:R72" si="32">Q65+T65-0.0000001</f>
        <v>-9.9999999999999995E-8</v>
      </c>
      <c r="S65" s="27">
        <f>(R65+Q65)/2</f>
        <v>-4.9999999999999998E-8</v>
      </c>
      <c r="T65" s="28">
        <f t="shared" si="29"/>
        <v>0</v>
      </c>
      <c r="U65" s="29">
        <f t="shared" ref="U65:U74" si="33">FREQUENCY($C$5:$C$204,R65)</f>
        <v>0</v>
      </c>
      <c r="V65" s="30" t="e">
        <f t="shared" si="30"/>
        <v>#DIV/0!</v>
      </c>
      <c r="W65" s="31">
        <f>U65-U64</f>
        <v>0</v>
      </c>
      <c r="X65" s="30" t="e">
        <f t="shared" si="31"/>
        <v>#DIV/0!</v>
      </c>
      <c r="Y65" s="32" t="e">
        <f t="shared" ref="Y65:Y73" si="34">X65/T65</f>
        <v>#DIV/0!</v>
      </c>
      <c r="AD65" s="33">
        <v>61</v>
      </c>
      <c r="AE65" s="33">
        <f t="shared" si="21"/>
        <v>0</v>
      </c>
      <c r="AF65" s="33" t="str">
        <f t="shared" si="8"/>
        <v>OGW</v>
      </c>
      <c r="AG65" s="43" t="str">
        <f t="shared" si="6"/>
        <v>OGW</v>
      </c>
      <c r="AH65" s="33" t="e">
        <f t="shared" si="9"/>
        <v>#DIV/0!</v>
      </c>
      <c r="AI65" s="35" t="e">
        <f t="shared" si="27"/>
        <v>#DIV/0!</v>
      </c>
      <c r="AJ65" s="35" t="e">
        <f t="shared" si="27"/>
        <v>#DIV/0!</v>
      </c>
      <c r="AK65" s="35" t="e">
        <f t="shared" si="27"/>
        <v>#DIV/0!</v>
      </c>
      <c r="AL65" s="35" t="e">
        <f t="shared" si="27"/>
        <v>#DIV/0!</v>
      </c>
      <c r="AM65" s="35" t="e">
        <f t="shared" si="27"/>
        <v>#DIV/0!</v>
      </c>
      <c r="AN65" s="35" t="e">
        <f t="shared" si="27"/>
        <v>#DIV/0!</v>
      </c>
      <c r="AO65" s="35" t="e">
        <f t="shared" si="27"/>
        <v>#DIV/0!</v>
      </c>
      <c r="AP65" s="33"/>
      <c r="AQ65" s="43">
        <f t="shared" si="22"/>
        <v>0</v>
      </c>
      <c r="AR65" s="43">
        <f t="shared" si="23"/>
        <v>0</v>
      </c>
      <c r="BB65" s="24">
        <v>58</v>
      </c>
      <c r="BC65" s="42">
        <f t="shared" si="13"/>
        <v>0</v>
      </c>
      <c r="BD65" s="26">
        <f t="shared" si="10"/>
        <v>-1.0000000000000001E-5</v>
      </c>
      <c r="BE65" s="27">
        <f t="shared" si="14"/>
        <v>-5.0000000000000004E-6</v>
      </c>
      <c r="BF65" s="28">
        <f t="shared" si="15"/>
        <v>-1.0000000000000001E-5</v>
      </c>
      <c r="BG65" s="29">
        <f t="shared" si="16"/>
        <v>0</v>
      </c>
      <c r="BH65" s="30" t="e">
        <f t="shared" si="25"/>
        <v>#DIV/0!</v>
      </c>
      <c r="BI65" s="31">
        <f t="shared" si="19"/>
        <v>0</v>
      </c>
      <c r="BJ65" s="30" t="e">
        <f t="shared" si="26"/>
        <v>#DIV/0!</v>
      </c>
      <c r="BK65" s="32" t="e">
        <f t="shared" si="17"/>
        <v>#DIV/0!</v>
      </c>
      <c r="BM65" s="33" t="e">
        <f t="shared" si="18"/>
        <v>#DIV/0!</v>
      </c>
    </row>
    <row r="66" spans="3:65" x14ac:dyDescent="0.3">
      <c r="C66" s="174" t="str">
        <f t="shared" si="28"/>
        <v/>
      </c>
      <c r="P66" s="24">
        <v>3</v>
      </c>
      <c r="Q66" s="25">
        <f t="shared" ref="Q66:Q74" si="35">Q65+T66</f>
        <v>0</v>
      </c>
      <c r="R66" s="26">
        <f t="shared" si="32"/>
        <v>-9.9999999999999995E-8</v>
      </c>
      <c r="S66" s="27">
        <f t="shared" ref="S66:S74" si="36">(R66+Q66)/2</f>
        <v>-4.9999999999999998E-8</v>
      </c>
      <c r="T66" s="28">
        <f t="shared" si="29"/>
        <v>0</v>
      </c>
      <c r="U66" s="29">
        <f t="shared" si="33"/>
        <v>0</v>
      </c>
      <c r="V66" s="30" t="e">
        <f t="shared" si="30"/>
        <v>#DIV/0!</v>
      </c>
      <c r="W66" s="31">
        <f t="shared" ref="W66:W73" si="37">U66-U65</f>
        <v>0</v>
      </c>
      <c r="X66" s="30" t="e">
        <f t="shared" si="31"/>
        <v>#DIV/0!</v>
      </c>
      <c r="Y66" s="32" t="e">
        <f t="shared" si="34"/>
        <v>#DIV/0!</v>
      </c>
      <c r="AD66" s="33">
        <v>62</v>
      </c>
      <c r="AE66" s="33">
        <f t="shared" si="21"/>
        <v>0</v>
      </c>
      <c r="AF66" s="33" t="str">
        <f t="shared" si="8"/>
        <v>OGW</v>
      </c>
      <c r="AG66" s="43" t="str">
        <f t="shared" si="6"/>
        <v>OGW</v>
      </c>
      <c r="AH66" s="33" t="e">
        <f t="shared" si="9"/>
        <v>#DIV/0!</v>
      </c>
      <c r="AI66" s="35" t="e">
        <f t="shared" si="27"/>
        <v>#DIV/0!</v>
      </c>
      <c r="AJ66" s="35" t="e">
        <f t="shared" si="27"/>
        <v>#DIV/0!</v>
      </c>
      <c r="AK66" s="35" t="e">
        <f t="shared" si="27"/>
        <v>#DIV/0!</v>
      </c>
      <c r="AL66" s="35" t="e">
        <f t="shared" si="27"/>
        <v>#DIV/0!</v>
      </c>
      <c r="AM66" s="35" t="e">
        <f t="shared" si="27"/>
        <v>#DIV/0!</v>
      </c>
      <c r="AN66" s="35" t="e">
        <f t="shared" si="27"/>
        <v>#DIV/0!</v>
      </c>
      <c r="AO66" s="35" t="e">
        <f t="shared" si="27"/>
        <v>#DIV/0!</v>
      </c>
      <c r="AP66" s="33"/>
      <c r="AQ66" s="43">
        <f t="shared" si="22"/>
        <v>0</v>
      </c>
      <c r="AR66" s="43">
        <f t="shared" si="23"/>
        <v>0</v>
      </c>
      <c r="BB66" s="24">
        <v>59</v>
      </c>
      <c r="BC66" s="42">
        <f t="shared" si="13"/>
        <v>0</v>
      </c>
      <c r="BD66" s="26">
        <f t="shared" si="10"/>
        <v>-1.0000000000000001E-5</v>
      </c>
      <c r="BE66" s="27">
        <f t="shared" si="14"/>
        <v>-5.0000000000000004E-6</v>
      </c>
      <c r="BF66" s="28">
        <f t="shared" si="15"/>
        <v>-1.0000000000000001E-5</v>
      </c>
      <c r="BG66" s="29">
        <f t="shared" si="16"/>
        <v>0</v>
      </c>
      <c r="BH66" s="30" t="e">
        <f t="shared" si="25"/>
        <v>#DIV/0!</v>
      </c>
      <c r="BI66" s="31">
        <f t="shared" si="19"/>
        <v>0</v>
      </c>
      <c r="BJ66" s="30" t="e">
        <f t="shared" si="26"/>
        <v>#DIV/0!</v>
      </c>
      <c r="BK66" s="32" t="e">
        <f t="shared" si="17"/>
        <v>#DIV/0!</v>
      </c>
      <c r="BM66" s="33" t="e">
        <f t="shared" si="18"/>
        <v>#DIV/0!</v>
      </c>
    </row>
    <row r="67" spans="3:65" x14ac:dyDescent="0.3">
      <c r="C67" s="174" t="str">
        <f t="shared" si="28"/>
        <v/>
      </c>
      <c r="P67" s="24">
        <v>4</v>
      </c>
      <c r="Q67" s="25">
        <f t="shared" si="35"/>
        <v>0</v>
      </c>
      <c r="R67" s="26">
        <f t="shared" si="32"/>
        <v>-9.9999999999999995E-8</v>
      </c>
      <c r="S67" s="27">
        <f t="shared" si="36"/>
        <v>-4.9999999999999998E-8</v>
      </c>
      <c r="T67" s="28">
        <f t="shared" si="29"/>
        <v>0</v>
      </c>
      <c r="U67" s="29">
        <f t="shared" si="33"/>
        <v>0</v>
      </c>
      <c r="V67" s="30" t="e">
        <f t="shared" si="30"/>
        <v>#DIV/0!</v>
      </c>
      <c r="W67" s="31">
        <f t="shared" si="37"/>
        <v>0</v>
      </c>
      <c r="X67" s="30" t="e">
        <f t="shared" si="31"/>
        <v>#DIV/0!</v>
      </c>
      <c r="Y67" s="32" t="e">
        <f t="shared" si="34"/>
        <v>#DIV/0!</v>
      </c>
      <c r="AD67" s="33">
        <v>63</v>
      </c>
      <c r="AE67" s="33">
        <f t="shared" si="21"/>
        <v>0</v>
      </c>
      <c r="AF67" s="33" t="str">
        <f t="shared" si="8"/>
        <v>OGW</v>
      </c>
      <c r="AG67" s="43" t="str">
        <f t="shared" si="6"/>
        <v>OGW</v>
      </c>
      <c r="AH67" s="33" t="e">
        <f t="shared" si="9"/>
        <v>#DIV/0!</v>
      </c>
      <c r="AI67" s="35" t="e">
        <f t="shared" si="27"/>
        <v>#DIV/0!</v>
      </c>
      <c r="AJ67" s="35" t="e">
        <f t="shared" si="27"/>
        <v>#DIV/0!</v>
      </c>
      <c r="AK67" s="35" t="e">
        <f t="shared" si="27"/>
        <v>#DIV/0!</v>
      </c>
      <c r="AL67" s="35" t="e">
        <f t="shared" si="27"/>
        <v>#DIV/0!</v>
      </c>
      <c r="AM67" s="35" t="e">
        <f t="shared" si="27"/>
        <v>#DIV/0!</v>
      </c>
      <c r="AN67" s="35" t="e">
        <f t="shared" si="27"/>
        <v>#DIV/0!</v>
      </c>
      <c r="AO67" s="35" t="e">
        <f t="shared" si="27"/>
        <v>#DIV/0!</v>
      </c>
      <c r="AP67" s="33"/>
      <c r="AQ67" s="43">
        <f t="shared" si="22"/>
        <v>0</v>
      </c>
      <c r="AR67" s="43">
        <f t="shared" si="23"/>
        <v>0</v>
      </c>
      <c r="BB67" s="24">
        <v>60</v>
      </c>
      <c r="BC67" s="42">
        <f t="shared" si="13"/>
        <v>0</v>
      </c>
      <c r="BD67" s="26">
        <f t="shared" si="10"/>
        <v>-1.0000000000000001E-5</v>
      </c>
      <c r="BE67" s="27">
        <f t="shared" si="14"/>
        <v>-5.0000000000000004E-6</v>
      </c>
      <c r="BF67" s="28">
        <f t="shared" si="15"/>
        <v>-1.0000000000000001E-5</v>
      </c>
      <c r="BG67" s="29">
        <f t="shared" si="16"/>
        <v>0</v>
      </c>
      <c r="BH67" s="30" t="e">
        <f t="shared" si="25"/>
        <v>#DIV/0!</v>
      </c>
      <c r="BI67" s="31">
        <f t="shared" si="19"/>
        <v>0</v>
      </c>
      <c r="BJ67" s="30" t="e">
        <f t="shared" si="26"/>
        <v>#DIV/0!</v>
      </c>
      <c r="BK67" s="32" t="e">
        <f t="shared" si="17"/>
        <v>#DIV/0!</v>
      </c>
      <c r="BM67" s="33" t="e">
        <f t="shared" si="18"/>
        <v>#DIV/0!</v>
      </c>
    </row>
    <row r="68" spans="3:65" x14ac:dyDescent="0.3">
      <c r="C68" s="174" t="str">
        <f t="shared" si="28"/>
        <v/>
      </c>
      <c r="P68" s="24">
        <v>5</v>
      </c>
      <c r="Q68" s="25">
        <f t="shared" si="35"/>
        <v>0</v>
      </c>
      <c r="R68" s="26">
        <f t="shared" si="32"/>
        <v>-9.9999999999999995E-8</v>
      </c>
      <c r="S68" s="27">
        <f t="shared" si="36"/>
        <v>-4.9999999999999998E-8</v>
      </c>
      <c r="T68" s="28">
        <f t="shared" si="29"/>
        <v>0</v>
      </c>
      <c r="U68" s="29">
        <f t="shared" si="33"/>
        <v>0</v>
      </c>
      <c r="V68" s="30" t="e">
        <f t="shared" si="30"/>
        <v>#DIV/0!</v>
      </c>
      <c r="W68" s="31">
        <f t="shared" si="37"/>
        <v>0</v>
      </c>
      <c r="X68" s="30" t="e">
        <f t="shared" si="31"/>
        <v>#DIV/0!</v>
      </c>
      <c r="Y68" s="32" t="e">
        <f t="shared" si="34"/>
        <v>#DIV/0!</v>
      </c>
      <c r="AD68" s="33">
        <v>64</v>
      </c>
      <c r="AE68" s="33">
        <f t="shared" si="21"/>
        <v>0</v>
      </c>
      <c r="AF68" s="33" t="str">
        <f t="shared" si="8"/>
        <v>OGW</v>
      </c>
      <c r="AG68" s="43" t="str">
        <f t="shared" si="6"/>
        <v>OGW</v>
      </c>
      <c r="AH68" s="33" t="e">
        <f t="shared" si="9"/>
        <v>#DIV/0!</v>
      </c>
      <c r="AI68" s="35" t="e">
        <f t="shared" si="27"/>
        <v>#DIV/0!</v>
      </c>
      <c r="AJ68" s="35" t="e">
        <f t="shared" si="27"/>
        <v>#DIV/0!</v>
      </c>
      <c r="AK68" s="35" t="e">
        <f t="shared" si="27"/>
        <v>#DIV/0!</v>
      </c>
      <c r="AL68" s="35" t="e">
        <f t="shared" si="27"/>
        <v>#DIV/0!</v>
      </c>
      <c r="AM68" s="35" t="e">
        <f t="shared" si="27"/>
        <v>#DIV/0!</v>
      </c>
      <c r="AN68" s="35" t="e">
        <f t="shared" si="27"/>
        <v>#DIV/0!</v>
      </c>
      <c r="AO68" s="35" t="e">
        <f t="shared" si="27"/>
        <v>#DIV/0!</v>
      </c>
      <c r="AP68" s="33"/>
      <c r="AQ68" s="43">
        <f t="shared" si="22"/>
        <v>0</v>
      </c>
      <c r="AR68" s="43">
        <f t="shared" si="23"/>
        <v>0</v>
      </c>
      <c r="BB68" s="24">
        <v>61</v>
      </c>
      <c r="BC68" s="42">
        <f t="shared" si="13"/>
        <v>0</v>
      </c>
      <c r="BD68" s="26">
        <f t="shared" si="10"/>
        <v>-1.0000000000000001E-5</v>
      </c>
      <c r="BE68" s="27">
        <f t="shared" si="14"/>
        <v>-5.0000000000000004E-6</v>
      </c>
      <c r="BF68" s="28">
        <f t="shared" si="15"/>
        <v>-1.0000000000000001E-5</v>
      </c>
      <c r="BG68" s="29">
        <f t="shared" si="16"/>
        <v>0</v>
      </c>
      <c r="BH68" s="30" t="e">
        <f t="shared" si="25"/>
        <v>#DIV/0!</v>
      </c>
      <c r="BI68" s="31">
        <f t="shared" si="19"/>
        <v>0</v>
      </c>
      <c r="BJ68" s="30" t="e">
        <f t="shared" si="26"/>
        <v>#DIV/0!</v>
      </c>
      <c r="BK68" s="32" t="e">
        <f t="shared" si="17"/>
        <v>#DIV/0!</v>
      </c>
      <c r="BM68" s="33" t="e">
        <f t="shared" si="18"/>
        <v>#DIV/0!</v>
      </c>
    </row>
    <row r="69" spans="3:65" x14ac:dyDescent="0.3">
      <c r="C69" s="174" t="str">
        <f t="shared" si="28"/>
        <v/>
      </c>
      <c r="P69" s="24">
        <v>6</v>
      </c>
      <c r="Q69" s="25">
        <f t="shared" si="35"/>
        <v>0</v>
      </c>
      <c r="R69" s="26">
        <f t="shared" si="32"/>
        <v>-9.9999999999999995E-8</v>
      </c>
      <c r="S69" s="27">
        <f t="shared" si="36"/>
        <v>-4.9999999999999998E-8</v>
      </c>
      <c r="T69" s="28">
        <f t="shared" si="29"/>
        <v>0</v>
      </c>
      <c r="U69" s="29">
        <f t="shared" si="33"/>
        <v>0</v>
      </c>
      <c r="V69" s="30" t="e">
        <f t="shared" si="30"/>
        <v>#DIV/0!</v>
      </c>
      <c r="W69" s="31">
        <f t="shared" si="37"/>
        <v>0</v>
      </c>
      <c r="X69" s="30" t="e">
        <f t="shared" si="31"/>
        <v>#DIV/0!</v>
      </c>
      <c r="Y69" s="32" t="e">
        <f t="shared" si="34"/>
        <v>#DIV/0!</v>
      </c>
      <c r="AD69" s="33">
        <v>65</v>
      </c>
      <c r="AE69" s="33">
        <f t="shared" ref="AE69:AE100" si="38">IF(($P$21&gt;AD69),AD69,$P$21)</f>
        <v>0</v>
      </c>
      <c r="AF69" s="33" t="str">
        <f t="shared" si="8"/>
        <v>OGW</v>
      </c>
      <c r="AG69" s="43" t="str">
        <f t="shared" si="6"/>
        <v>OGW</v>
      </c>
      <c r="AH69" s="33" t="e">
        <f t="shared" si="9"/>
        <v>#DIV/0!</v>
      </c>
      <c r="AI69" s="35" t="e">
        <f t="shared" si="27"/>
        <v>#DIV/0!</v>
      </c>
      <c r="AJ69" s="35" t="e">
        <f t="shared" si="27"/>
        <v>#DIV/0!</v>
      </c>
      <c r="AK69" s="35" t="e">
        <f t="shared" si="27"/>
        <v>#DIV/0!</v>
      </c>
      <c r="AL69" s="35" t="e">
        <f t="shared" si="27"/>
        <v>#DIV/0!</v>
      </c>
      <c r="AM69" s="35" t="e">
        <f t="shared" si="27"/>
        <v>#DIV/0!</v>
      </c>
      <c r="AN69" s="35" t="e">
        <f t="shared" si="27"/>
        <v>#DIV/0!</v>
      </c>
      <c r="AO69" s="35" t="e">
        <f t="shared" si="27"/>
        <v>#DIV/0!</v>
      </c>
      <c r="AP69" s="33"/>
      <c r="AQ69" s="43">
        <f t="shared" ref="AQ69:AQ100" si="39">IF(AND(C69&lt;&gt;"",C69&lt;UGW),1,0)</f>
        <v>0</v>
      </c>
      <c r="AR69" s="43">
        <f t="shared" ref="AR69:AR100" si="40">IF(AND(C69&lt;&gt;"",C69&gt;OGW),1,0)</f>
        <v>0</v>
      </c>
      <c r="BB69" s="24">
        <v>62</v>
      </c>
      <c r="BC69" s="42">
        <f t="shared" si="13"/>
        <v>0</v>
      </c>
      <c r="BD69" s="26">
        <f t="shared" si="10"/>
        <v>-1.0000000000000001E-5</v>
      </c>
      <c r="BE69" s="27">
        <f t="shared" si="14"/>
        <v>-5.0000000000000004E-6</v>
      </c>
      <c r="BF69" s="28">
        <f t="shared" si="15"/>
        <v>-1.0000000000000001E-5</v>
      </c>
      <c r="BG69" s="29">
        <f t="shared" si="16"/>
        <v>0</v>
      </c>
      <c r="BH69" s="30" t="e">
        <f t="shared" si="25"/>
        <v>#DIV/0!</v>
      </c>
      <c r="BI69" s="31">
        <f t="shared" si="19"/>
        <v>0</v>
      </c>
      <c r="BJ69" s="30" t="e">
        <f t="shared" si="26"/>
        <v>#DIV/0!</v>
      </c>
      <c r="BK69" s="32" t="e">
        <f t="shared" si="17"/>
        <v>#DIV/0!</v>
      </c>
      <c r="BM69" s="33" t="e">
        <f t="shared" si="18"/>
        <v>#DIV/0!</v>
      </c>
    </row>
    <row r="70" spans="3:65" x14ac:dyDescent="0.3">
      <c r="C70" s="174" t="str">
        <f t="shared" si="28"/>
        <v/>
      </c>
      <c r="P70" s="24">
        <v>7</v>
      </c>
      <c r="Q70" s="25">
        <f t="shared" si="35"/>
        <v>0</v>
      </c>
      <c r="R70" s="26">
        <f t="shared" si="32"/>
        <v>-9.9999999999999995E-8</v>
      </c>
      <c r="S70" s="27">
        <f t="shared" si="36"/>
        <v>-4.9999999999999998E-8</v>
      </c>
      <c r="T70" s="28">
        <f t="shared" si="29"/>
        <v>0</v>
      </c>
      <c r="U70" s="29">
        <f t="shared" si="33"/>
        <v>0</v>
      </c>
      <c r="V70" s="30" t="e">
        <f t="shared" si="30"/>
        <v>#DIV/0!</v>
      </c>
      <c r="W70" s="31">
        <f t="shared" si="37"/>
        <v>0</v>
      </c>
      <c r="X70" s="30" t="e">
        <f t="shared" si="31"/>
        <v>#DIV/0!</v>
      </c>
      <c r="Y70" s="32" t="e">
        <f t="shared" si="34"/>
        <v>#DIV/0!</v>
      </c>
      <c r="AD70" s="33">
        <v>66</v>
      </c>
      <c r="AE70" s="33">
        <f t="shared" si="38"/>
        <v>0</v>
      </c>
      <c r="AF70" s="33" t="str">
        <f t="shared" si="8"/>
        <v>OGW</v>
      </c>
      <c r="AG70" s="43" t="str">
        <f t="shared" si="6"/>
        <v>OGW</v>
      </c>
      <c r="AH70" s="33" t="e">
        <f t="shared" si="9"/>
        <v>#DIV/0!</v>
      </c>
      <c r="AI70" s="35" t="e">
        <f t="shared" ref="AI70:AO85" si="41">AI69</f>
        <v>#DIV/0!</v>
      </c>
      <c r="AJ70" s="35" t="e">
        <f t="shared" si="41"/>
        <v>#DIV/0!</v>
      </c>
      <c r="AK70" s="35" t="e">
        <f t="shared" si="41"/>
        <v>#DIV/0!</v>
      </c>
      <c r="AL70" s="35" t="e">
        <f t="shared" si="41"/>
        <v>#DIV/0!</v>
      </c>
      <c r="AM70" s="35" t="e">
        <f t="shared" si="41"/>
        <v>#DIV/0!</v>
      </c>
      <c r="AN70" s="35" t="e">
        <f t="shared" si="41"/>
        <v>#DIV/0!</v>
      </c>
      <c r="AO70" s="35" t="e">
        <f t="shared" si="41"/>
        <v>#DIV/0!</v>
      </c>
      <c r="AP70" s="33"/>
      <c r="AQ70" s="43">
        <f t="shared" si="39"/>
        <v>0</v>
      </c>
      <c r="AR70" s="43">
        <f t="shared" si="40"/>
        <v>0</v>
      </c>
      <c r="BB70" s="24">
        <v>63</v>
      </c>
      <c r="BC70" s="42">
        <f t="shared" si="13"/>
        <v>0</v>
      </c>
      <c r="BD70" s="26">
        <f t="shared" si="10"/>
        <v>-1.0000000000000001E-5</v>
      </c>
      <c r="BE70" s="27">
        <f t="shared" si="14"/>
        <v>-5.0000000000000004E-6</v>
      </c>
      <c r="BF70" s="28">
        <f t="shared" si="15"/>
        <v>-1.0000000000000001E-5</v>
      </c>
      <c r="BG70" s="29">
        <f t="shared" si="16"/>
        <v>0</v>
      </c>
      <c r="BH70" s="30" t="e">
        <f t="shared" si="25"/>
        <v>#DIV/0!</v>
      </c>
      <c r="BI70" s="31">
        <f t="shared" si="19"/>
        <v>0</v>
      </c>
      <c r="BJ70" s="30" t="e">
        <f t="shared" si="26"/>
        <v>#DIV/0!</v>
      </c>
      <c r="BK70" s="32" t="e">
        <f t="shared" si="17"/>
        <v>#DIV/0!</v>
      </c>
      <c r="BM70" s="33" t="e">
        <f t="shared" si="18"/>
        <v>#DIV/0!</v>
      </c>
    </row>
    <row r="71" spans="3:65" x14ac:dyDescent="0.3">
      <c r="C71" s="174" t="str">
        <f t="shared" si="28"/>
        <v/>
      </c>
      <c r="P71" s="24">
        <v>8</v>
      </c>
      <c r="Q71" s="25">
        <f t="shared" si="35"/>
        <v>0</v>
      </c>
      <c r="R71" s="26">
        <f t="shared" si="32"/>
        <v>-9.9999999999999995E-8</v>
      </c>
      <c r="S71" s="27">
        <f t="shared" si="36"/>
        <v>-4.9999999999999998E-8</v>
      </c>
      <c r="T71" s="28">
        <f t="shared" si="29"/>
        <v>0</v>
      </c>
      <c r="U71" s="29">
        <f t="shared" si="33"/>
        <v>0</v>
      </c>
      <c r="V71" s="30" t="e">
        <f t="shared" si="30"/>
        <v>#DIV/0!</v>
      </c>
      <c r="W71" s="31">
        <f t="shared" si="37"/>
        <v>0</v>
      </c>
      <c r="X71" s="30" t="e">
        <f t="shared" si="31"/>
        <v>#DIV/0!</v>
      </c>
      <c r="Y71" s="32" t="e">
        <f t="shared" si="34"/>
        <v>#DIV/0!</v>
      </c>
      <c r="AD71" s="33">
        <v>67</v>
      </c>
      <c r="AE71" s="33">
        <f t="shared" si="38"/>
        <v>0</v>
      </c>
      <c r="AF71" s="33" t="str">
        <f t="shared" si="8"/>
        <v>OGW</v>
      </c>
      <c r="AG71" s="43" t="str">
        <f t="shared" ref="AG71:AG134" si="42">IF(C71&lt;&gt;"",$P$19,AG70)</f>
        <v>OGW</v>
      </c>
      <c r="AH71" s="33" t="e">
        <f t="shared" si="9"/>
        <v>#DIV/0!</v>
      </c>
      <c r="AI71" s="35" t="e">
        <f t="shared" si="41"/>
        <v>#DIV/0!</v>
      </c>
      <c r="AJ71" s="35" t="e">
        <f t="shared" si="41"/>
        <v>#DIV/0!</v>
      </c>
      <c r="AK71" s="35" t="e">
        <f t="shared" si="41"/>
        <v>#DIV/0!</v>
      </c>
      <c r="AL71" s="35" t="e">
        <f t="shared" si="41"/>
        <v>#DIV/0!</v>
      </c>
      <c r="AM71" s="35" t="e">
        <f t="shared" si="41"/>
        <v>#DIV/0!</v>
      </c>
      <c r="AN71" s="35" t="e">
        <f t="shared" si="41"/>
        <v>#DIV/0!</v>
      </c>
      <c r="AO71" s="35" t="e">
        <f t="shared" si="41"/>
        <v>#DIV/0!</v>
      </c>
      <c r="AP71" s="33"/>
      <c r="AQ71" s="43">
        <f t="shared" si="39"/>
        <v>0</v>
      </c>
      <c r="AR71" s="43">
        <f t="shared" si="40"/>
        <v>0</v>
      </c>
      <c r="BB71" s="24">
        <v>64</v>
      </c>
      <c r="BC71" s="42">
        <f t="shared" si="13"/>
        <v>0</v>
      </c>
      <c r="BD71" s="26">
        <f t="shared" si="10"/>
        <v>-1.0000000000000001E-5</v>
      </c>
      <c r="BE71" s="27">
        <f t="shared" si="14"/>
        <v>-5.0000000000000004E-6</v>
      </c>
      <c r="BF71" s="28">
        <f t="shared" si="15"/>
        <v>-1.0000000000000001E-5</v>
      </c>
      <c r="BG71" s="29">
        <f t="shared" si="16"/>
        <v>0</v>
      </c>
      <c r="BH71" s="30" t="e">
        <f t="shared" si="25"/>
        <v>#DIV/0!</v>
      </c>
      <c r="BI71" s="31">
        <f t="shared" si="19"/>
        <v>0</v>
      </c>
      <c r="BJ71" s="30" t="e">
        <f t="shared" si="26"/>
        <v>#DIV/0!</v>
      </c>
      <c r="BK71" s="32" t="e">
        <f t="shared" si="17"/>
        <v>#DIV/0!</v>
      </c>
      <c r="BM71" s="33" t="e">
        <f t="shared" si="18"/>
        <v>#DIV/0!</v>
      </c>
    </row>
    <row r="72" spans="3:65" x14ac:dyDescent="0.3">
      <c r="C72" s="174" t="str">
        <f t="shared" si="28"/>
        <v/>
      </c>
      <c r="P72" s="24">
        <v>9</v>
      </c>
      <c r="Q72" s="25">
        <f t="shared" si="35"/>
        <v>0</v>
      </c>
      <c r="R72" s="26">
        <f t="shared" si="32"/>
        <v>-9.9999999999999995E-8</v>
      </c>
      <c r="S72" s="27">
        <f t="shared" si="36"/>
        <v>-4.9999999999999998E-8</v>
      </c>
      <c r="T72" s="28">
        <f t="shared" si="29"/>
        <v>0</v>
      </c>
      <c r="U72" s="29">
        <f t="shared" si="33"/>
        <v>0</v>
      </c>
      <c r="V72" s="30" t="e">
        <f t="shared" si="30"/>
        <v>#DIV/0!</v>
      </c>
      <c r="W72" s="31">
        <f t="shared" si="37"/>
        <v>0</v>
      </c>
      <c r="X72" s="30" t="e">
        <f t="shared" si="31"/>
        <v>#DIV/0!</v>
      </c>
      <c r="Y72" s="32" t="e">
        <f t="shared" si="34"/>
        <v>#DIV/0!</v>
      </c>
      <c r="AD72" s="33">
        <v>68</v>
      </c>
      <c r="AE72" s="33">
        <f t="shared" si="38"/>
        <v>0</v>
      </c>
      <c r="AF72" s="33" t="str">
        <f t="shared" ref="AF72:AF135" si="43">IF(C72&lt;&gt;"",C72,AF71)</f>
        <v>OGW</v>
      </c>
      <c r="AG72" s="43" t="str">
        <f t="shared" si="42"/>
        <v>OGW</v>
      </c>
      <c r="AH72" s="33" t="e">
        <f t="shared" ref="AH72:AH135" si="44">IF(C72&lt;&gt;"",$P$18,AH71)</f>
        <v>#DIV/0!</v>
      </c>
      <c r="AI72" s="35" t="e">
        <f t="shared" si="41"/>
        <v>#DIV/0!</v>
      </c>
      <c r="AJ72" s="35" t="e">
        <f t="shared" si="41"/>
        <v>#DIV/0!</v>
      </c>
      <c r="AK72" s="35" t="e">
        <f t="shared" si="41"/>
        <v>#DIV/0!</v>
      </c>
      <c r="AL72" s="35" t="e">
        <f t="shared" si="41"/>
        <v>#DIV/0!</v>
      </c>
      <c r="AM72" s="35" t="e">
        <f t="shared" si="41"/>
        <v>#DIV/0!</v>
      </c>
      <c r="AN72" s="35" t="e">
        <f t="shared" si="41"/>
        <v>#DIV/0!</v>
      </c>
      <c r="AO72" s="35" t="e">
        <f t="shared" si="41"/>
        <v>#DIV/0!</v>
      </c>
      <c r="AP72" s="33"/>
      <c r="AQ72" s="43">
        <f t="shared" si="39"/>
        <v>0</v>
      </c>
      <c r="AR72" s="43">
        <f t="shared" si="40"/>
        <v>0</v>
      </c>
      <c r="BB72" s="24">
        <v>65</v>
      </c>
      <c r="BC72" s="42">
        <f t="shared" si="13"/>
        <v>0</v>
      </c>
      <c r="BD72" s="26">
        <f t="shared" ref="BD72:BD106" si="45">BC73-0.00001</f>
        <v>-1.0000000000000001E-5</v>
      </c>
      <c r="BE72" s="27">
        <f t="shared" si="14"/>
        <v>-5.0000000000000004E-6</v>
      </c>
      <c r="BF72" s="28">
        <f t="shared" si="15"/>
        <v>-1.0000000000000001E-5</v>
      </c>
      <c r="BG72" s="29">
        <f t="shared" si="16"/>
        <v>0</v>
      </c>
      <c r="BH72" s="30" t="e">
        <f t="shared" ref="BH72:BH107" si="46">$BG72/$P$21</f>
        <v>#DIV/0!</v>
      </c>
      <c r="BI72" s="31">
        <f t="shared" si="19"/>
        <v>0</v>
      </c>
      <c r="BJ72" s="30" t="e">
        <f t="shared" ref="BJ72:BJ103" si="47">BI72/$P$21</f>
        <v>#DIV/0!</v>
      </c>
      <c r="BK72" s="32" t="e">
        <f t="shared" si="17"/>
        <v>#DIV/0!</v>
      </c>
      <c r="BM72" s="33" t="e">
        <f t="shared" si="18"/>
        <v>#DIV/0!</v>
      </c>
    </row>
    <row r="73" spans="3:65" x14ac:dyDescent="0.3">
      <c r="C73" s="174" t="str">
        <f t="shared" si="28"/>
        <v/>
      </c>
      <c r="P73" s="24">
        <v>10</v>
      </c>
      <c r="Q73" s="25">
        <f t="shared" si="35"/>
        <v>0</v>
      </c>
      <c r="R73" s="26">
        <f>Q73+T73+0.000001</f>
        <v>9.9999999999999995E-7</v>
      </c>
      <c r="S73" s="27">
        <f t="shared" si="36"/>
        <v>4.9999999999999998E-7</v>
      </c>
      <c r="T73" s="28">
        <f t="shared" si="29"/>
        <v>0</v>
      </c>
      <c r="U73" s="29">
        <f t="shared" si="33"/>
        <v>0</v>
      </c>
      <c r="V73" s="30" t="e">
        <f t="shared" si="30"/>
        <v>#DIV/0!</v>
      </c>
      <c r="W73" s="31">
        <f t="shared" si="37"/>
        <v>0</v>
      </c>
      <c r="X73" s="30" t="e">
        <f t="shared" si="31"/>
        <v>#DIV/0!</v>
      </c>
      <c r="Y73" s="32" t="e">
        <f t="shared" si="34"/>
        <v>#DIV/0!</v>
      </c>
      <c r="AD73" s="33">
        <v>69</v>
      </c>
      <c r="AE73" s="33">
        <f t="shared" si="38"/>
        <v>0</v>
      </c>
      <c r="AF73" s="33" t="str">
        <f t="shared" si="43"/>
        <v>OGW</v>
      </c>
      <c r="AG73" s="43" t="str">
        <f t="shared" si="42"/>
        <v>OGW</v>
      </c>
      <c r="AH73" s="33" t="e">
        <f t="shared" si="44"/>
        <v>#DIV/0!</v>
      </c>
      <c r="AI73" s="35" t="e">
        <f t="shared" si="41"/>
        <v>#DIV/0!</v>
      </c>
      <c r="AJ73" s="35" t="e">
        <f t="shared" si="41"/>
        <v>#DIV/0!</v>
      </c>
      <c r="AK73" s="35" t="e">
        <f t="shared" si="41"/>
        <v>#DIV/0!</v>
      </c>
      <c r="AL73" s="35" t="e">
        <f t="shared" si="41"/>
        <v>#DIV/0!</v>
      </c>
      <c r="AM73" s="35" t="e">
        <f t="shared" si="41"/>
        <v>#DIV/0!</v>
      </c>
      <c r="AN73" s="35" t="e">
        <f t="shared" si="41"/>
        <v>#DIV/0!</v>
      </c>
      <c r="AO73" s="35" t="e">
        <f t="shared" si="41"/>
        <v>#DIV/0!</v>
      </c>
      <c r="AP73" s="33"/>
      <c r="AQ73" s="43">
        <f t="shared" si="39"/>
        <v>0</v>
      </c>
      <c r="AR73" s="43">
        <f t="shared" si="40"/>
        <v>0</v>
      </c>
      <c r="BB73" s="24">
        <v>66</v>
      </c>
      <c r="BC73" s="42">
        <f t="shared" ref="BC73:BC107" si="48">BC72+$P$32/100</f>
        <v>0</v>
      </c>
      <c r="BD73" s="26">
        <f t="shared" si="45"/>
        <v>-1.0000000000000001E-5</v>
      </c>
      <c r="BE73" s="27">
        <f t="shared" ref="BE73:BE107" si="49">(BD73+BC73)/2</f>
        <v>-5.0000000000000004E-6</v>
      </c>
      <c r="BF73" s="28">
        <f t="shared" ref="BF73:BF107" si="50">BD73-BC73</f>
        <v>-1.0000000000000001E-5</v>
      </c>
      <c r="BG73" s="29">
        <f t="shared" ref="BG73:BG107" si="51">FREQUENCY($C$5:$C$204,BD73)</f>
        <v>0</v>
      </c>
      <c r="BH73" s="30" t="e">
        <f t="shared" si="46"/>
        <v>#DIV/0!</v>
      </c>
      <c r="BI73" s="31">
        <f t="shared" si="19"/>
        <v>0</v>
      </c>
      <c r="BJ73" s="30" t="e">
        <f t="shared" si="47"/>
        <v>#DIV/0!</v>
      </c>
      <c r="BK73" s="32" t="e">
        <f t="shared" ref="BK73:BK107" si="52">BJ73/BF73</f>
        <v>#DIV/0!</v>
      </c>
      <c r="BM73" s="33" t="e">
        <f t="shared" ref="BM73:BM106" si="53">NORMINV(BH73,0,1)</f>
        <v>#DIV/0!</v>
      </c>
    </row>
    <row r="74" spans="3:65" x14ac:dyDescent="0.3">
      <c r="C74" s="174" t="str">
        <f t="shared" si="28"/>
        <v/>
      </c>
      <c r="P74" s="24">
        <v>11</v>
      </c>
      <c r="Q74" s="25">
        <f t="shared" si="35"/>
        <v>0</v>
      </c>
      <c r="R74" s="26">
        <f>Q74+T74</f>
        <v>0</v>
      </c>
      <c r="S74" s="27">
        <f t="shared" si="36"/>
        <v>0</v>
      </c>
      <c r="T74" s="28">
        <f t="shared" si="29"/>
        <v>0</v>
      </c>
      <c r="U74" s="29">
        <f t="shared" si="33"/>
        <v>0</v>
      </c>
      <c r="V74" s="30" t="e">
        <f t="shared" si="30"/>
        <v>#DIV/0!</v>
      </c>
      <c r="W74" s="31">
        <f>U74-U73</f>
        <v>0</v>
      </c>
      <c r="X74" s="30" t="e">
        <f t="shared" si="31"/>
        <v>#DIV/0!</v>
      </c>
      <c r="Y74" s="32" t="e">
        <f>X74/T74</f>
        <v>#DIV/0!</v>
      </c>
      <c r="AD74" s="33">
        <v>70</v>
      </c>
      <c r="AE74" s="33">
        <f t="shared" si="38"/>
        <v>0</v>
      </c>
      <c r="AF74" s="33" t="str">
        <f t="shared" si="43"/>
        <v>OGW</v>
      </c>
      <c r="AG74" s="43" t="str">
        <f t="shared" si="42"/>
        <v>OGW</v>
      </c>
      <c r="AH74" s="33" t="e">
        <f t="shared" si="44"/>
        <v>#DIV/0!</v>
      </c>
      <c r="AI74" s="35" t="e">
        <f t="shared" si="41"/>
        <v>#DIV/0!</v>
      </c>
      <c r="AJ74" s="35" t="e">
        <f t="shared" si="41"/>
        <v>#DIV/0!</v>
      </c>
      <c r="AK74" s="35" t="e">
        <f t="shared" si="41"/>
        <v>#DIV/0!</v>
      </c>
      <c r="AL74" s="35" t="e">
        <f t="shared" si="41"/>
        <v>#DIV/0!</v>
      </c>
      <c r="AM74" s="35" t="e">
        <f t="shared" si="41"/>
        <v>#DIV/0!</v>
      </c>
      <c r="AN74" s="35" t="e">
        <f t="shared" si="41"/>
        <v>#DIV/0!</v>
      </c>
      <c r="AO74" s="35" t="e">
        <f t="shared" si="41"/>
        <v>#DIV/0!</v>
      </c>
      <c r="AP74" s="33"/>
      <c r="AQ74" s="43">
        <f t="shared" si="39"/>
        <v>0</v>
      </c>
      <c r="AR74" s="43">
        <f t="shared" si="40"/>
        <v>0</v>
      </c>
      <c r="BB74" s="24">
        <v>67</v>
      </c>
      <c r="BC74" s="42">
        <f t="shared" si="48"/>
        <v>0</v>
      </c>
      <c r="BD74" s="26">
        <f t="shared" si="45"/>
        <v>-1.0000000000000001E-5</v>
      </c>
      <c r="BE74" s="27">
        <f t="shared" si="49"/>
        <v>-5.0000000000000004E-6</v>
      </c>
      <c r="BF74" s="28">
        <f t="shared" si="50"/>
        <v>-1.0000000000000001E-5</v>
      </c>
      <c r="BG74" s="29">
        <f t="shared" si="51"/>
        <v>0</v>
      </c>
      <c r="BH74" s="30" t="e">
        <f t="shared" si="46"/>
        <v>#DIV/0!</v>
      </c>
      <c r="BI74" s="31">
        <f t="shared" ref="BI74:BI107" si="54">BG74-BG73</f>
        <v>0</v>
      </c>
      <c r="BJ74" s="30" t="e">
        <f t="shared" si="47"/>
        <v>#DIV/0!</v>
      </c>
      <c r="BK74" s="32" t="e">
        <f t="shared" si="52"/>
        <v>#DIV/0!</v>
      </c>
      <c r="BM74" s="33" t="e">
        <f t="shared" si="53"/>
        <v>#DIV/0!</v>
      </c>
    </row>
    <row r="75" spans="3:65" x14ac:dyDescent="0.3">
      <c r="C75" s="174" t="str">
        <f t="shared" si="28"/>
        <v/>
      </c>
      <c r="AD75" s="33">
        <v>71</v>
      </c>
      <c r="AE75" s="33">
        <f t="shared" si="38"/>
        <v>0</v>
      </c>
      <c r="AF75" s="33" t="str">
        <f t="shared" si="43"/>
        <v>OGW</v>
      </c>
      <c r="AG75" s="43" t="str">
        <f t="shared" si="42"/>
        <v>OGW</v>
      </c>
      <c r="AH75" s="33" t="e">
        <f t="shared" si="44"/>
        <v>#DIV/0!</v>
      </c>
      <c r="AI75" s="35" t="e">
        <f t="shared" si="41"/>
        <v>#DIV/0!</v>
      </c>
      <c r="AJ75" s="35" t="e">
        <f t="shared" si="41"/>
        <v>#DIV/0!</v>
      </c>
      <c r="AK75" s="35" t="e">
        <f t="shared" si="41"/>
        <v>#DIV/0!</v>
      </c>
      <c r="AL75" s="35" t="e">
        <f t="shared" si="41"/>
        <v>#DIV/0!</v>
      </c>
      <c r="AM75" s="35" t="e">
        <f t="shared" si="41"/>
        <v>#DIV/0!</v>
      </c>
      <c r="AN75" s="35" t="e">
        <f t="shared" si="41"/>
        <v>#DIV/0!</v>
      </c>
      <c r="AO75" s="35" t="e">
        <f t="shared" si="41"/>
        <v>#DIV/0!</v>
      </c>
      <c r="AP75" s="33"/>
      <c r="AQ75" s="43">
        <f t="shared" si="39"/>
        <v>0</v>
      </c>
      <c r="AR75" s="43">
        <f t="shared" si="40"/>
        <v>0</v>
      </c>
      <c r="BB75" s="24">
        <v>68</v>
      </c>
      <c r="BC75" s="42">
        <f t="shared" si="48"/>
        <v>0</v>
      </c>
      <c r="BD75" s="26">
        <f t="shared" si="45"/>
        <v>-1.0000000000000001E-5</v>
      </c>
      <c r="BE75" s="27">
        <f t="shared" si="49"/>
        <v>-5.0000000000000004E-6</v>
      </c>
      <c r="BF75" s="28">
        <f t="shared" si="50"/>
        <v>-1.0000000000000001E-5</v>
      </c>
      <c r="BG75" s="29">
        <f t="shared" si="51"/>
        <v>0</v>
      </c>
      <c r="BH75" s="30" t="e">
        <f t="shared" si="46"/>
        <v>#DIV/0!</v>
      </c>
      <c r="BI75" s="31">
        <f t="shared" si="54"/>
        <v>0</v>
      </c>
      <c r="BJ75" s="30" t="e">
        <f t="shared" si="47"/>
        <v>#DIV/0!</v>
      </c>
      <c r="BK75" s="32" t="e">
        <f t="shared" si="52"/>
        <v>#DIV/0!</v>
      </c>
      <c r="BM75" s="33" t="e">
        <f t="shared" si="53"/>
        <v>#DIV/0!</v>
      </c>
    </row>
    <row r="76" spans="3:65" ht="21" x14ac:dyDescent="0.35">
      <c r="C76" s="174" t="str">
        <f t="shared" si="28"/>
        <v/>
      </c>
      <c r="P76" s="277" t="s">
        <v>58</v>
      </c>
      <c r="Q76" s="277"/>
      <c r="R76" s="277"/>
      <c r="S76" s="277"/>
      <c r="T76" s="277"/>
      <c r="U76" s="277"/>
      <c r="V76" s="277"/>
      <c r="W76" s="277"/>
      <c r="X76" s="277"/>
      <c r="Y76" s="277"/>
      <c r="AD76" s="33">
        <v>72</v>
      </c>
      <c r="AE76" s="33">
        <f t="shared" si="38"/>
        <v>0</v>
      </c>
      <c r="AF76" s="33" t="str">
        <f t="shared" si="43"/>
        <v>OGW</v>
      </c>
      <c r="AG76" s="43" t="str">
        <f t="shared" si="42"/>
        <v>OGW</v>
      </c>
      <c r="AH76" s="33" t="e">
        <f t="shared" si="44"/>
        <v>#DIV/0!</v>
      </c>
      <c r="AI76" s="35" t="e">
        <f t="shared" si="41"/>
        <v>#DIV/0!</v>
      </c>
      <c r="AJ76" s="35" t="e">
        <f t="shared" si="41"/>
        <v>#DIV/0!</v>
      </c>
      <c r="AK76" s="35" t="e">
        <f t="shared" si="41"/>
        <v>#DIV/0!</v>
      </c>
      <c r="AL76" s="35" t="e">
        <f t="shared" si="41"/>
        <v>#DIV/0!</v>
      </c>
      <c r="AM76" s="35" t="e">
        <f t="shared" si="41"/>
        <v>#DIV/0!</v>
      </c>
      <c r="AN76" s="35" t="e">
        <f t="shared" si="41"/>
        <v>#DIV/0!</v>
      </c>
      <c r="AO76" s="35" t="e">
        <f t="shared" si="41"/>
        <v>#DIV/0!</v>
      </c>
      <c r="AP76" s="33"/>
      <c r="AQ76" s="43">
        <f t="shared" si="39"/>
        <v>0</v>
      </c>
      <c r="AR76" s="43">
        <f t="shared" si="40"/>
        <v>0</v>
      </c>
      <c r="BB76" s="24">
        <v>69</v>
      </c>
      <c r="BC76" s="42">
        <f t="shared" si="48"/>
        <v>0</v>
      </c>
      <c r="BD76" s="26">
        <f t="shared" si="45"/>
        <v>-1.0000000000000001E-5</v>
      </c>
      <c r="BE76" s="27">
        <f t="shared" si="49"/>
        <v>-5.0000000000000004E-6</v>
      </c>
      <c r="BF76" s="28">
        <f t="shared" si="50"/>
        <v>-1.0000000000000001E-5</v>
      </c>
      <c r="BG76" s="29">
        <f t="shared" si="51"/>
        <v>0</v>
      </c>
      <c r="BH76" s="30" t="e">
        <f t="shared" si="46"/>
        <v>#DIV/0!</v>
      </c>
      <c r="BI76" s="31">
        <f t="shared" si="54"/>
        <v>0</v>
      </c>
      <c r="BJ76" s="30" t="e">
        <f t="shared" si="47"/>
        <v>#DIV/0!</v>
      </c>
      <c r="BK76" s="32" t="e">
        <f t="shared" si="52"/>
        <v>#DIV/0!</v>
      </c>
      <c r="BM76" s="33" t="e">
        <f t="shared" si="53"/>
        <v>#DIV/0!</v>
      </c>
    </row>
    <row r="77" spans="3:65" x14ac:dyDescent="0.3">
      <c r="C77" s="174" t="str">
        <f t="shared" si="28"/>
        <v/>
      </c>
      <c r="Q77" s="33">
        <v>1.1000000000000001</v>
      </c>
      <c r="R77" s="35" t="e">
        <f t="shared" ref="R77:R87" si="55">R78-(Q77*$P$23)</f>
        <v>#DIV/0!</v>
      </c>
      <c r="S77" s="25" t="e">
        <f>NORMDIST(R77,$P$22,$P$23,0)</f>
        <v>#DIV/0!</v>
      </c>
      <c r="U77" s="36" t="s">
        <v>47</v>
      </c>
      <c r="V77" s="37">
        <f>P19</f>
        <v>0</v>
      </c>
      <c r="W77" s="38" t="e">
        <f>MAX(Y64:Y74)</f>
        <v>#DIV/0!</v>
      </c>
      <c r="Y77" s="14"/>
      <c r="AD77" s="33">
        <v>73</v>
      </c>
      <c r="AE77" s="33">
        <f t="shared" si="38"/>
        <v>0</v>
      </c>
      <c r="AF77" s="33" t="str">
        <f t="shared" si="43"/>
        <v>OGW</v>
      </c>
      <c r="AG77" s="43" t="str">
        <f t="shared" si="42"/>
        <v>OGW</v>
      </c>
      <c r="AH77" s="33" t="e">
        <f t="shared" si="44"/>
        <v>#DIV/0!</v>
      </c>
      <c r="AI77" s="35" t="e">
        <f t="shared" si="41"/>
        <v>#DIV/0!</v>
      </c>
      <c r="AJ77" s="35" t="e">
        <f t="shared" si="41"/>
        <v>#DIV/0!</v>
      </c>
      <c r="AK77" s="35" t="e">
        <f t="shared" si="41"/>
        <v>#DIV/0!</v>
      </c>
      <c r="AL77" s="35" t="e">
        <f t="shared" si="41"/>
        <v>#DIV/0!</v>
      </c>
      <c r="AM77" s="35" t="e">
        <f t="shared" si="41"/>
        <v>#DIV/0!</v>
      </c>
      <c r="AN77" s="35" t="e">
        <f t="shared" si="41"/>
        <v>#DIV/0!</v>
      </c>
      <c r="AO77" s="35" t="e">
        <f t="shared" si="41"/>
        <v>#DIV/0!</v>
      </c>
      <c r="AP77" s="33"/>
      <c r="AQ77" s="43">
        <f t="shared" si="39"/>
        <v>0</v>
      </c>
      <c r="AR77" s="43">
        <f t="shared" si="40"/>
        <v>0</v>
      </c>
      <c r="BB77" s="24">
        <v>70</v>
      </c>
      <c r="BC77" s="42">
        <f t="shared" si="48"/>
        <v>0</v>
      </c>
      <c r="BD77" s="26">
        <f t="shared" si="45"/>
        <v>-1.0000000000000001E-5</v>
      </c>
      <c r="BE77" s="27">
        <f t="shared" si="49"/>
        <v>-5.0000000000000004E-6</v>
      </c>
      <c r="BF77" s="28">
        <f t="shared" si="50"/>
        <v>-1.0000000000000001E-5</v>
      </c>
      <c r="BG77" s="29">
        <f t="shared" si="51"/>
        <v>0</v>
      </c>
      <c r="BH77" s="30" t="e">
        <f t="shared" si="46"/>
        <v>#DIV/0!</v>
      </c>
      <c r="BI77" s="31">
        <f t="shared" si="54"/>
        <v>0</v>
      </c>
      <c r="BJ77" s="30" t="e">
        <f t="shared" si="47"/>
        <v>#DIV/0!</v>
      </c>
      <c r="BK77" s="32" t="e">
        <f t="shared" si="52"/>
        <v>#DIV/0!</v>
      </c>
      <c r="BM77" s="33" t="e">
        <f t="shared" si="53"/>
        <v>#DIV/0!</v>
      </c>
    </row>
    <row r="78" spans="3:65" x14ac:dyDescent="0.3">
      <c r="C78" s="174" t="str">
        <f t="shared" si="28"/>
        <v/>
      </c>
      <c r="Q78" s="33">
        <v>1</v>
      </c>
      <c r="R78" s="35" t="e">
        <f t="shared" si="55"/>
        <v>#DIV/0!</v>
      </c>
      <c r="S78" s="25" t="e">
        <f t="shared" ref="S78:S99" si="56">NORMDIST(R78,$P$22,$P$23,0)</f>
        <v>#DIV/0!</v>
      </c>
      <c r="U78" s="33" t="s">
        <v>48</v>
      </c>
      <c r="V78" s="34">
        <f>P18</f>
        <v>0</v>
      </c>
      <c r="W78" s="35" t="e">
        <f>W77</f>
        <v>#DIV/0!</v>
      </c>
      <c r="Y78" s="14"/>
      <c r="AD78" s="33">
        <v>74</v>
      </c>
      <c r="AE78" s="33">
        <f t="shared" si="38"/>
        <v>0</v>
      </c>
      <c r="AF78" s="33" t="str">
        <f t="shared" si="43"/>
        <v>OGW</v>
      </c>
      <c r="AG78" s="43" t="str">
        <f t="shared" si="42"/>
        <v>OGW</v>
      </c>
      <c r="AH78" s="33" t="e">
        <f t="shared" si="44"/>
        <v>#DIV/0!</v>
      </c>
      <c r="AI78" s="35" t="e">
        <f t="shared" si="41"/>
        <v>#DIV/0!</v>
      </c>
      <c r="AJ78" s="35" t="e">
        <f t="shared" si="41"/>
        <v>#DIV/0!</v>
      </c>
      <c r="AK78" s="35" t="e">
        <f t="shared" si="41"/>
        <v>#DIV/0!</v>
      </c>
      <c r="AL78" s="35" t="e">
        <f t="shared" si="41"/>
        <v>#DIV/0!</v>
      </c>
      <c r="AM78" s="35" t="e">
        <f t="shared" si="41"/>
        <v>#DIV/0!</v>
      </c>
      <c r="AN78" s="35" t="e">
        <f t="shared" si="41"/>
        <v>#DIV/0!</v>
      </c>
      <c r="AO78" s="35" t="e">
        <f t="shared" si="41"/>
        <v>#DIV/0!</v>
      </c>
      <c r="AP78" s="33"/>
      <c r="AQ78" s="43">
        <f t="shared" si="39"/>
        <v>0</v>
      </c>
      <c r="AR78" s="43">
        <f t="shared" si="40"/>
        <v>0</v>
      </c>
      <c r="BB78" s="24">
        <v>71</v>
      </c>
      <c r="BC78" s="42">
        <f t="shared" si="48"/>
        <v>0</v>
      </c>
      <c r="BD78" s="26">
        <f t="shared" si="45"/>
        <v>-1.0000000000000001E-5</v>
      </c>
      <c r="BE78" s="27">
        <f t="shared" si="49"/>
        <v>-5.0000000000000004E-6</v>
      </c>
      <c r="BF78" s="28">
        <f t="shared" si="50"/>
        <v>-1.0000000000000001E-5</v>
      </c>
      <c r="BG78" s="29">
        <f t="shared" si="51"/>
        <v>0</v>
      </c>
      <c r="BH78" s="30" t="e">
        <f t="shared" si="46"/>
        <v>#DIV/0!</v>
      </c>
      <c r="BI78" s="31">
        <f t="shared" si="54"/>
        <v>0</v>
      </c>
      <c r="BJ78" s="30" t="e">
        <f t="shared" si="47"/>
        <v>#DIV/0!</v>
      </c>
      <c r="BK78" s="32" t="e">
        <f t="shared" si="52"/>
        <v>#DIV/0!</v>
      </c>
      <c r="BM78" s="33" t="e">
        <f t="shared" si="53"/>
        <v>#DIV/0!</v>
      </c>
    </row>
    <row r="79" spans="3:65" x14ac:dyDescent="0.3">
      <c r="C79" s="174" t="str">
        <f t="shared" si="28"/>
        <v/>
      </c>
      <c r="Q79" s="33">
        <v>0.9</v>
      </c>
      <c r="R79" s="35" t="e">
        <f t="shared" si="55"/>
        <v>#DIV/0!</v>
      </c>
      <c r="S79" s="25" t="e">
        <f t="shared" si="56"/>
        <v>#DIV/0!</v>
      </c>
      <c r="U79" s="33" t="str">
        <f>IF('Eingabe und Diagramm'!P30&gt;=125,"+ 5 Sigma","+ 6 Sigma")</f>
        <v>+ 6 Sigma</v>
      </c>
      <c r="V79" s="34" t="e">
        <f>P22+IF('Eingabe und Diagramm'!P30&gt;=125,5,6)*P23</f>
        <v>#DIV/0!</v>
      </c>
      <c r="W79" s="35" t="e">
        <f>W78</f>
        <v>#DIV/0!</v>
      </c>
      <c r="Y79" s="14"/>
      <c r="AD79" s="33">
        <v>75</v>
      </c>
      <c r="AE79" s="33">
        <f t="shared" si="38"/>
        <v>0</v>
      </c>
      <c r="AF79" s="33" t="str">
        <f t="shared" si="43"/>
        <v>OGW</v>
      </c>
      <c r="AG79" s="43" t="str">
        <f t="shared" si="42"/>
        <v>OGW</v>
      </c>
      <c r="AH79" s="33" t="e">
        <f t="shared" si="44"/>
        <v>#DIV/0!</v>
      </c>
      <c r="AI79" s="35" t="e">
        <f t="shared" si="41"/>
        <v>#DIV/0!</v>
      </c>
      <c r="AJ79" s="35" t="e">
        <f t="shared" si="41"/>
        <v>#DIV/0!</v>
      </c>
      <c r="AK79" s="35" t="e">
        <f t="shared" si="41"/>
        <v>#DIV/0!</v>
      </c>
      <c r="AL79" s="35" t="e">
        <f t="shared" si="41"/>
        <v>#DIV/0!</v>
      </c>
      <c r="AM79" s="35" t="e">
        <f t="shared" si="41"/>
        <v>#DIV/0!</v>
      </c>
      <c r="AN79" s="35" t="e">
        <f t="shared" si="41"/>
        <v>#DIV/0!</v>
      </c>
      <c r="AO79" s="35" t="e">
        <f t="shared" si="41"/>
        <v>#DIV/0!</v>
      </c>
      <c r="AP79" s="33"/>
      <c r="AQ79" s="43">
        <f t="shared" si="39"/>
        <v>0</v>
      </c>
      <c r="AR79" s="43">
        <f t="shared" si="40"/>
        <v>0</v>
      </c>
      <c r="BB79" s="24">
        <v>72</v>
      </c>
      <c r="BC79" s="42">
        <f t="shared" si="48"/>
        <v>0</v>
      </c>
      <c r="BD79" s="26">
        <f t="shared" si="45"/>
        <v>-1.0000000000000001E-5</v>
      </c>
      <c r="BE79" s="27">
        <f t="shared" si="49"/>
        <v>-5.0000000000000004E-6</v>
      </c>
      <c r="BF79" s="28">
        <f t="shared" si="50"/>
        <v>-1.0000000000000001E-5</v>
      </c>
      <c r="BG79" s="29">
        <f t="shared" si="51"/>
        <v>0</v>
      </c>
      <c r="BH79" s="30" t="e">
        <f t="shared" si="46"/>
        <v>#DIV/0!</v>
      </c>
      <c r="BI79" s="31">
        <f t="shared" si="54"/>
        <v>0</v>
      </c>
      <c r="BJ79" s="30" t="e">
        <f t="shared" si="47"/>
        <v>#DIV/0!</v>
      </c>
      <c r="BK79" s="32" t="e">
        <f t="shared" si="52"/>
        <v>#DIV/0!</v>
      </c>
      <c r="BM79" s="33" t="e">
        <f t="shared" si="53"/>
        <v>#DIV/0!</v>
      </c>
    </row>
    <row r="80" spans="3:65" x14ac:dyDescent="0.3">
      <c r="C80" s="174" t="str">
        <f t="shared" si="28"/>
        <v/>
      </c>
      <c r="Q80" s="33">
        <v>0.8</v>
      </c>
      <c r="R80" s="35" t="e">
        <f t="shared" si="55"/>
        <v>#DIV/0!</v>
      </c>
      <c r="S80" s="25" t="e">
        <f t="shared" si="56"/>
        <v>#DIV/0!</v>
      </c>
      <c r="U80" s="33" t="str">
        <f>IF('Eingabe und Diagramm'!P30&gt;=125,"- 5 Sigma","- 6 Sigma")</f>
        <v>- 6 Sigma</v>
      </c>
      <c r="V80" s="34" t="e">
        <f>P22-IF('Eingabe und Diagramm'!P30&gt;=125,5,6)*P23</f>
        <v>#DIV/0!</v>
      </c>
      <c r="W80" s="35" t="e">
        <f>W79</f>
        <v>#DIV/0!</v>
      </c>
      <c r="Y80" s="14"/>
      <c r="AD80" s="33">
        <v>76</v>
      </c>
      <c r="AE80" s="33">
        <f t="shared" si="38"/>
        <v>0</v>
      </c>
      <c r="AF80" s="33" t="str">
        <f t="shared" si="43"/>
        <v>OGW</v>
      </c>
      <c r="AG80" s="43" t="str">
        <f t="shared" si="42"/>
        <v>OGW</v>
      </c>
      <c r="AH80" s="33" t="e">
        <f t="shared" si="44"/>
        <v>#DIV/0!</v>
      </c>
      <c r="AI80" s="35" t="e">
        <f t="shared" si="41"/>
        <v>#DIV/0!</v>
      </c>
      <c r="AJ80" s="35" t="e">
        <f t="shared" si="41"/>
        <v>#DIV/0!</v>
      </c>
      <c r="AK80" s="35" t="e">
        <f t="shared" si="41"/>
        <v>#DIV/0!</v>
      </c>
      <c r="AL80" s="35" t="e">
        <f t="shared" si="41"/>
        <v>#DIV/0!</v>
      </c>
      <c r="AM80" s="35" t="e">
        <f t="shared" si="41"/>
        <v>#DIV/0!</v>
      </c>
      <c r="AN80" s="35" t="e">
        <f t="shared" si="41"/>
        <v>#DIV/0!</v>
      </c>
      <c r="AO80" s="35" t="e">
        <f t="shared" si="41"/>
        <v>#DIV/0!</v>
      </c>
      <c r="AP80" s="33"/>
      <c r="AQ80" s="43">
        <f t="shared" si="39"/>
        <v>0</v>
      </c>
      <c r="AR80" s="43">
        <f t="shared" si="40"/>
        <v>0</v>
      </c>
      <c r="BB80" s="24">
        <v>73</v>
      </c>
      <c r="BC80" s="42">
        <f t="shared" si="48"/>
        <v>0</v>
      </c>
      <c r="BD80" s="26">
        <f t="shared" si="45"/>
        <v>-1.0000000000000001E-5</v>
      </c>
      <c r="BE80" s="27">
        <f t="shared" si="49"/>
        <v>-5.0000000000000004E-6</v>
      </c>
      <c r="BF80" s="28">
        <f t="shared" si="50"/>
        <v>-1.0000000000000001E-5</v>
      </c>
      <c r="BG80" s="29">
        <f t="shared" si="51"/>
        <v>0</v>
      </c>
      <c r="BH80" s="30" t="e">
        <f t="shared" si="46"/>
        <v>#DIV/0!</v>
      </c>
      <c r="BI80" s="31">
        <f t="shared" si="54"/>
        <v>0</v>
      </c>
      <c r="BJ80" s="30" t="e">
        <f t="shared" si="47"/>
        <v>#DIV/0!</v>
      </c>
      <c r="BK80" s="32" t="e">
        <f t="shared" si="52"/>
        <v>#DIV/0!</v>
      </c>
      <c r="BM80" s="33" t="e">
        <f t="shared" si="53"/>
        <v>#DIV/0!</v>
      </c>
    </row>
    <row r="81" spans="3:65" x14ac:dyDescent="0.3">
      <c r="C81" s="174" t="str">
        <f t="shared" si="28"/>
        <v/>
      </c>
      <c r="Q81" s="33">
        <v>0.7</v>
      </c>
      <c r="R81" s="35" t="e">
        <f t="shared" si="55"/>
        <v>#DIV/0!</v>
      </c>
      <c r="S81" s="25" t="e">
        <f t="shared" si="56"/>
        <v>#DIV/0!</v>
      </c>
      <c r="Y81" s="14"/>
      <c r="AD81" s="33">
        <v>77</v>
      </c>
      <c r="AE81" s="33">
        <f t="shared" si="38"/>
        <v>0</v>
      </c>
      <c r="AF81" s="33" t="str">
        <f t="shared" si="43"/>
        <v>OGW</v>
      </c>
      <c r="AG81" s="43" t="str">
        <f t="shared" si="42"/>
        <v>OGW</v>
      </c>
      <c r="AH81" s="33" t="e">
        <f t="shared" si="44"/>
        <v>#DIV/0!</v>
      </c>
      <c r="AI81" s="35" t="e">
        <f t="shared" si="41"/>
        <v>#DIV/0!</v>
      </c>
      <c r="AJ81" s="35" t="e">
        <f t="shared" si="41"/>
        <v>#DIV/0!</v>
      </c>
      <c r="AK81" s="35" t="e">
        <f t="shared" si="41"/>
        <v>#DIV/0!</v>
      </c>
      <c r="AL81" s="35" t="e">
        <f t="shared" si="41"/>
        <v>#DIV/0!</v>
      </c>
      <c r="AM81" s="35" t="e">
        <f t="shared" si="41"/>
        <v>#DIV/0!</v>
      </c>
      <c r="AN81" s="35" t="e">
        <f t="shared" si="41"/>
        <v>#DIV/0!</v>
      </c>
      <c r="AO81" s="35" t="e">
        <f t="shared" si="41"/>
        <v>#DIV/0!</v>
      </c>
      <c r="AP81" s="33"/>
      <c r="AQ81" s="43">
        <f t="shared" si="39"/>
        <v>0</v>
      </c>
      <c r="AR81" s="43">
        <f t="shared" si="40"/>
        <v>0</v>
      </c>
      <c r="BB81" s="24">
        <v>74</v>
      </c>
      <c r="BC81" s="42">
        <f t="shared" si="48"/>
        <v>0</v>
      </c>
      <c r="BD81" s="26">
        <f t="shared" si="45"/>
        <v>-1.0000000000000001E-5</v>
      </c>
      <c r="BE81" s="27">
        <f t="shared" si="49"/>
        <v>-5.0000000000000004E-6</v>
      </c>
      <c r="BF81" s="28">
        <f t="shared" si="50"/>
        <v>-1.0000000000000001E-5</v>
      </c>
      <c r="BG81" s="29">
        <f t="shared" si="51"/>
        <v>0</v>
      </c>
      <c r="BH81" s="30" t="e">
        <f t="shared" si="46"/>
        <v>#DIV/0!</v>
      </c>
      <c r="BI81" s="31">
        <f t="shared" si="54"/>
        <v>0</v>
      </c>
      <c r="BJ81" s="30" t="e">
        <f t="shared" si="47"/>
        <v>#DIV/0!</v>
      </c>
      <c r="BK81" s="32" t="e">
        <f t="shared" si="52"/>
        <v>#DIV/0!</v>
      </c>
      <c r="BM81" s="33" t="e">
        <f t="shared" si="53"/>
        <v>#DIV/0!</v>
      </c>
    </row>
    <row r="82" spans="3:65" x14ac:dyDescent="0.3">
      <c r="C82" s="174" t="str">
        <f t="shared" si="28"/>
        <v/>
      </c>
      <c r="Q82" s="33">
        <v>0.6</v>
      </c>
      <c r="R82" s="35" t="e">
        <f t="shared" si="55"/>
        <v>#DIV/0!</v>
      </c>
      <c r="S82" s="25" t="e">
        <f t="shared" si="56"/>
        <v>#DIV/0!</v>
      </c>
      <c r="Y82" s="14"/>
      <c r="AD82" s="33">
        <v>78</v>
      </c>
      <c r="AE82" s="33">
        <f t="shared" si="38"/>
        <v>0</v>
      </c>
      <c r="AF82" s="33" t="str">
        <f t="shared" si="43"/>
        <v>OGW</v>
      </c>
      <c r="AG82" s="43" t="str">
        <f t="shared" si="42"/>
        <v>OGW</v>
      </c>
      <c r="AH82" s="33" t="e">
        <f t="shared" si="44"/>
        <v>#DIV/0!</v>
      </c>
      <c r="AI82" s="35" t="e">
        <f t="shared" si="41"/>
        <v>#DIV/0!</v>
      </c>
      <c r="AJ82" s="35" t="e">
        <f t="shared" si="41"/>
        <v>#DIV/0!</v>
      </c>
      <c r="AK82" s="35" t="e">
        <f t="shared" si="41"/>
        <v>#DIV/0!</v>
      </c>
      <c r="AL82" s="35" t="e">
        <f t="shared" si="41"/>
        <v>#DIV/0!</v>
      </c>
      <c r="AM82" s="35" t="e">
        <f t="shared" si="41"/>
        <v>#DIV/0!</v>
      </c>
      <c r="AN82" s="35" t="e">
        <f t="shared" si="41"/>
        <v>#DIV/0!</v>
      </c>
      <c r="AO82" s="35" t="e">
        <f t="shared" si="41"/>
        <v>#DIV/0!</v>
      </c>
      <c r="AP82" s="33"/>
      <c r="AQ82" s="43">
        <f t="shared" si="39"/>
        <v>0</v>
      </c>
      <c r="AR82" s="43">
        <f t="shared" si="40"/>
        <v>0</v>
      </c>
      <c r="BB82" s="24">
        <v>75</v>
      </c>
      <c r="BC82" s="42">
        <f t="shared" si="48"/>
        <v>0</v>
      </c>
      <c r="BD82" s="26">
        <f t="shared" si="45"/>
        <v>-1.0000000000000001E-5</v>
      </c>
      <c r="BE82" s="27">
        <f t="shared" si="49"/>
        <v>-5.0000000000000004E-6</v>
      </c>
      <c r="BF82" s="28">
        <f t="shared" si="50"/>
        <v>-1.0000000000000001E-5</v>
      </c>
      <c r="BG82" s="29">
        <f t="shared" si="51"/>
        <v>0</v>
      </c>
      <c r="BH82" s="30" t="e">
        <f t="shared" si="46"/>
        <v>#DIV/0!</v>
      </c>
      <c r="BI82" s="31">
        <f t="shared" si="54"/>
        <v>0</v>
      </c>
      <c r="BJ82" s="30" t="e">
        <f t="shared" si="47"/>
        <v>#DIV/0!</v>
      </c>
      <c r="BK82" s="32" t="e">
        <f t="shared" si="52"/>
        <v>#DIV/0!</v>
      </c>
      <c r="BM82" s="33" t="e">
        <f t="shared" si="53"/>
        <v>#DIV/0!</v>
      </c>
    </row>
    <row r="83" spans="3:65" x14ac:dyDescent="0.3">
      <c r="C83" s="174" t="str">
        <f t="shared" si="28"/>
        <v/>
      </c>
      <c r="Q83" s="33">
        <v>0.5</v>
      </c>
      <c r="R83" s="35" t="e">
        <f t="shared" si="55"/>
        <v>#DIV/0!</v>
      </c>
      <c r="S83" s="25" t="e">
        <f t="shared" si="56"/>
        <v>#DIV/0!</v>
      </c>
      <c r="Y83" s="14"/>
      <c r="AD83" s="33">
        <v>79</v>
      </c>
      <c r="AE83" s="33">
        <f t="shared" si="38"/>
        <v>0</v>
      </c>
      <c r="AF83" s="33" t="str">
        <f t="shared" si="43"/>
        <v>OGW</v>
      </c>
      <c r="AG83" s="43" t="str">
        <f t="shared" si="42"/>
        <v>OGW</v>
      </c>
      <c r="AH83" s="33" t="e">
        <f t="shared" si="44"/>
        <v>#DIV/0!</v>
      </c>
      <c r="AI83" s="35" t="e">
        <f t="shared" si="41"/>
        <v>#DIV/0!</v>
      </c>
      <c r="AJ83" s="35" t="e">
        <f t="shared" si="41"/>
        <v>#DIV/0!</v>
      </c>
      <c r="AK83" s="35" t="e">
        <f t="shared" si="41"/>
        <v>#DIV/0!</v>
      </c>
      <c r="AL83" s="35" t="e">
        <f t="shared" si="41"/>
        <v>#DIV/0!</v>
      </c>
      <c r="AM83" s="35" t="e">
        <f t="shared" si="41"/>
        <v>#DIV/0!</v>
      </c>
      <c r="AN83" s="35" t="e">
        <f t="shared" si="41"/>
        <v>#DIV/0!</v>
      </c>
      <c r="AO83" s="35" t="e">
        <f t="shared" si="41"/>
        <v>#DIV/0!</v>
      </c>
      <c r="AP83" s="33"/>
      <c r="AQ83" s="43">
        <f t="shared" si="39"/>
        <v>0</v>
      </c>
      <c r="AR83" s="43">
        <f t="shared" si="40"/>
        <v>0</v>
      </c>
      <c r="BB83" s="24">
        <v>76</v>
      </c>
      <c r="BC83" s="42">
        <f t="shared" si="48"/>
        <v>0</v>
      </c>
      <c r="BD83" s="26">
        <f t="shared" si="45"/>
        <v>-1.0000000000000001E-5</v>
      </c>
      <c r="BE83" s="27">
        <f t="shared" si="49"/>
        <v>-5.0000000000000004E-6</v>
      </c>
      <c r="BF83" s="28">
        <f t="shared" si="50"/>
        <v>-1.0000000000000001E-5</v>
      </c>
      <c r="BG83" s="29">
        <f t="shared" si="51"/>
        <v>0</v>
      </c>
      <c r="BH83" s="30" t="e">
        <f t="shared" si="46"/>
        <v>#DIV/0!</v>
      </c>
      <c r="BI83" s="31">
        <f t="shared" si="54"/>
        <v>0</v>
      </c>
      <c r="BJ83" s="30" t="e">
        <f t="shared" si="47"/>
        <v>#DIV/0!</v>
      </c>
      <c r="BK83" s="32" t="e">
        <f t="shared" si="52"/>
        <v>#DIV/0!</v>
      </c>
      <c r="BM83" s="33" t="e">
        <f t="shared" si="53"/>
        <v>#DIV/0!</v>
      </c>
    </row>
    <row r="84" spans="3:65" x14ac:dyDescent="0.3">
      <c r="C84" s="174" t="str">
        <f t="shared" si="28"/>
        <v/>
      </c>
      <c r="Q84" s="33">
        <v>0.4</v>
      </c>
      <c r="R84" s="35" t="e">
        <f t="shared" si="55"/>
        <v>#DIV/0!</v>
      </c>
      <c r="S84" s="25" t="e">
        <f t="shared" si="56"/>
        <v>#DIV/0!</v>
      </c>
      <c r="Y84" s="14"/>
      <c r="AD84" s="33">
        <v>80</v>
      </c>
      <c r="AE84" s="33">
        <f t="shared" si="38"/>
        <v>0</v>
      </c>
      <c r="AF84" s="33" t="str">
        <f t="shared" si="43"/>
        <v>OGW</v>
      </c>
      <c r="AG84" s="43" t="str">
        <f t="shared" si="42"/>
        <v>OGW</v>
      </c>
      <c r="AH84" s="33" t="e">
        <f t="shared" si="44"/>
        <v>#DIV/0!</v>
      </c>
      <c r="AI84" s="35" t="e">
        <f t="shared" si="41"/>
        <v>#DIV/0!</v>
      </c>
      <c r="AJ84" s="35" t="e">
        <f t="shared" si="41"/>
        <v>#DIV/0!</v>
      </c>
      <c r="AK84" s="35" t="e">
        <f t="shared" si="41"/>
        <v>#DIV/0!</v>
      </c>
      <c r="AL84" s="35" t="e">
        <f t="shared" si="41"/>
        <v>#DIV/0!</v>
      </c>
      <c r="AM84" s="35" t="e">
        <f t="shared" si="41"/>
        <v>#DIV/0!</v>
      </c>
      <c r="AN84" s="35" t="e">
        <f t="shared" si="41"/>
        <v>#DIV/0!</v>
      </c>
      <c r="AO84" s="35" t="e">
        <f t="shared" si="41"/>
        <v>#DIV/0!</v>
      </c>
      <c r="AP84" s="33"/>
      <c r="AQ84" s="43">
        <f t="shared" si="39"/>
        <v>0</v>
      </c>
      <c r="AR84" s="43">
        <f t="shared" si="40"/>
        <v>0</v>
      </c>
      <c r="BB84" s="24">
        <v>77</v>
      </c>
      <c r="BC84" s="42">
        <f t="shared" si="48"/>
        <v>0</v>
      </c>
      <c r="BD84" s="26">
        <f t="shared" si="45"/>
        <v>-1.0000000000000001E-5</v>
      </c>
      <c r="BE84" s="27">
        <f t="shared" si="49"/>
        <v>-5.0000000000000004E-6</v>
      </c>
      <c r="BF84" s="28">
        <f t="shared" si="50"/>
        <v>-1.0000000000000001E-5</v>
      </c>
      <c r="BG84" s="29">
        <f t="shared" si="51"/>
        <v>0</v>
      </c>
      <c r="BH84" s="30" t="e">
        <f t="shared" si="46"/>
        <v>#DIV/0!</v>
      </c>
      <c r="BI84" s="31">
        <f t="shared" si="54"/>
        <v>0</v>
      </c>
      <c r="BJ84" s="30" t="e">
        <f t="shared" si="47"/>
        <v>#DIV/0!</v>
      </c>
      <c r="BK84" s="32" t="e">
        <f t="shared" si="52"/>
        <v>#DIV/0!</v>
      </c>
      <c r="BM84" s="33" t="e">
        <f t="shared" si="53"/>
        <v>#DIV/0!</v>
      </c>
    </row>
    <row r="85" spans="3:65" x14ac:dyDescent="0.3">
      <c r="C85" s="174" t="str">
        <f t="shared" si="28"/>
        <v/>
      </c>
      <c r="Q85" s="33">
        <v>0.3</v>
      </c>
      <c r="R85" s="35" t="e">
        <f t="shared" si="55"/>
        <v>#DIV/0!</v>
      </c>
      <c r="S85" s="25" t="e">
        <f t="shared" si="56"/>
        <v>#DIV/0!</v>
      </c>
      <c r="Y85" s="14"/>
      <c r="AD85" s="33">
        <v>81</v>
      </c>
      <c r="AE85" s="33">
        <f t="shared" si="38"/>
        <v>0</v>
      </c>
      <c r="AF85" s="33" t="str">
        <f t="shared" si="43"/>
        <v>OGW</v>
      </c>
      <c r="AG85" s="43" t="str">
        <f t="shared" si="42"/>
        <v>OGW</v>
      </c>
      <c r="AH85" s="33" t="e">
        <f t="shared" si="44"/>
        <v>#DIV/0!</v>
      </c>
      <c r="AI85" s="35" t="e">
        <f t="shared" si="41"/>
        <v>#DIV/0!</v>
      </c>
      <c r="AJ85" s="35" t="e">
        <f t="shared" si="41"/>
        <v>#DIV/0!</v>
      </c>
      <c r="AK85" s="35" t="e">
        <f t="shared" si="41"/>
        <v>#DIV/0!</v>
      </c>
      <c r="AL85" s="35" t="e">
        <f t="shared" si="41"/>
        <v>#DIV/0!</v>
      </c>
      <c r="AM85" s="35" t="e">
        <f t="shared" si="41"/>
        <v>#DIV/0!</v>
      </c>
      <c r="AN85" s="35" t="e">
        <f t="shared" si="41"/>
        <v>#DIV/0!</v>
      </c>
      <c r="AO85" s="35" t="e">
        <f t="shared" si="41"/>
        <v>#DIV/0!</v>
      </c>
      <c r="AP85" s="33"/>
      <c r="AQ85" s="43">
        <f t="shared" si="39"/>
        <v>0</v>
      </c>
      <c r="AR85" s="43">
        <f t="shared" si="40"/>
        <v>0</v>
      </c>
      <c r="BB85" s="24">
        <v>78</v>
      </c>
      <c r="BC85" s="42">
        <f t="shared" si="48"/>
        <v>0</v>
      </c>
      <c r="BD85" s="26">
        <f t="shared" si="45"/>
        <v>-1.0000000000000001E-5</v>
      </c>
      <c r="BE85" s="27">
        <f t="shared" si="49"/>
        <v>-5.0000000000000004E-6</v>
      </c>
      <c r="BF85" s="28">
        <f t="shared" si="50"/>
        <v>-1.0000000000000001E-5</v>
      </c>
      <c r="BG85" s="29">
        <f t="shared" si="51"/>
        <v>0</v>
      </c>
      <c r="BH85" s="30" t="e">
        <f t="shared" si="46"/>
        <v>#DIV/0!</v>
      </c>
      <c r="BI85" s="31">
        <f t="shared" si="54"/>
        <v>0</v>
      </c>
      <c r="BJ85" s="30" t="e">
        <f t="shared" si="47"/>
        <v>#DIV/0!</v>
      </c>
      <c r="BK85" s="32" t="e">
        <f t="shared" si="52"/>
        <v>#DIV/0!</v>
      </c>
      <c r="BM85" s="33" t="e">
        <f t="shared" si="53"/>
        <v>#DIV/0!</v>
      </c>
    </row>
    <row r="86" spans="3:65" x14ac:dyDescent="0.3">
      <c r="C86" s="174" t="str">
        <f t="shared" si="28"/>
        <v/>
      </c>
      <c r="Q86" s="33">
        <v>0.2</v>
      </c>
      <c r="R86" s="35" t="e">
        <f t="shared" si="55"/>
        <v>#DIV/0!</v>
      </c>
      <c r="S86" s="25" t="e">
        <f t="shared" si="56"/>
        <v>#DIV/0!</v>
      </c>
      <c r="Y86" s="14"/>
      <c r="AD86" s="33">
        <v>82</v>
      </c>
      <c r="AE86" s="33">
        <f t="shared" si="38"/>
        <v>0</v>
      </c>
      <c r="AF86" s="33" t="str">
        <f t="shared" si="43"/>
        <v>OGW</v>
      </c>
      <c r="AG86" s="43" t="str">
        <f t="shared" si="42"/>
        <v>OGW</v>
      </c>
      <c r="AH86" s="33" t="e">
        <f t="shared" si="44"/>
        <v>#DIV/0!</v>
      </c>
      <c r="AI86" s="35" t="e">
        <f t="shared" ref="AI86:AO101" si="57">AI85</f>
        <v>#DIV/0!</v>
      </c>
      <c r="AJ86" s="35" t="e">
        <f t="shared" si="57"/>
        <v>#DIV/0!</v>
      </c>
      <c r="AK86" s="35" t="e">
        <f t="shared" si="57"/>
        <v>#DIV/0!</v>
      </c>
      <c r="AL86" s="35" t="e">
        <f t="shared" si="57"/>
        <v>#DIV/0!</v>
      </c>
      <c r="AM86" s="35" t="e">
        <f t="shared" si="57"/>
        <v>#DIV/0!</v>
      </c>
      <c r="AN86" s="35" t="e">
        <f t="shared" si="57"/>
        <v>#DIV/0!</v>
      </c>
      <c r="AO86" s="35" t="e">
        <f t="shared" si="57"/>
        <v>#DIV/0!</v>
      </c>
      <c r="AP86" s="33"/>
      <c r="AQ86" s="43">
        <f t="shared" si="39"/>
        <v>0</v>
      </c>
      <c r="AR86" s="43">
        <f t="shared" si="40"/>
        <v>0</v>
      </c>
      <c r="BB86" s="24">
        <v>79</v>
      </c>
      <c r="BC86" s="42">
        <f t="shared" si="48"/>
        <v>0</v>
      </c>
      <c r="BD86" s="26">
        <f t="shared" si="45"/>
        <v>-1.0000000000000001E-5</v>
      </c>
      <c r="BE86" s="27">
        <f t="shared" si="49"/>
        <v>-5.0000000000000004E-6</v>
      </c>
      <c r="BF86" s="28">
        <f t="shared" si="50"/>
        <v>-1.0000000000000001E-5</v>
      </c>
      <c r="BG86" s="29">
        <f t="shared" si="51"/>
        <v>0</v>
      </c>
      <c r="BH86" s="30" t="e">
        <f t="shared" si="46"/>
        <v>#DIV/0!</v>
      </c>
      <c r="BI86" s="31">
        <f t="shared" si="54"/>
        <v>0</v>
      </c>
      <c r="BJ86" s="30" t="e">
        <f t="shared" si="47"/>
        <v>#DIV/0!</v>
      </c>
      <c r="BK86" s="32" t="e">
        <f t="shared" si="52"/>
        <v>#DIV/0!</v>
      </c>
      <c r="BM86" s="33" t="e">
        <f t="shared" si="53"/>
        <v>#DIV/0!</v>
      </c>
    </row>
    <row r="87" spans="3:65" x14ac:dyDescent="0.3">
      <c r="C87" s="174" t="str">
        <f t="shared" si="28"/>
        <v/>
      </c>
      <c r="Q87" s="33">
        <v>0.1</v>
      </c>
      <c r="R87" s="35" t="e">
        <f t="shared" si="55"/>
        <v>#DIV/0!</v>
      </c>
      <c r="S87" s="25" t="e">
        <f t="shared" si="56"/>
        <v>#DIV/0!</v>
      </c>
      <c r="Y87" s="14"/>
      <c r="AD87" s="33">
        <v>83</v>
      </c>
      <c r="AE87" s="33">
        <f t="shared" si="38"/>
        <v>0</v>
      </c>
      <c r="AF87" s="33" t="str">
        <f t="shared" si="43"/>
        <v>OGW</v>
      </c>
      <c r="AG87" s="43" t="str">
        <f t="shared" si="42"/>
        <v>OGW</v>
      </c>
      <c r="AH87" s="33" t="e">
        <f t="shared" si="44"/>
        <v>#DIV/0!</v>
      </c>
      <c r="AI87" s="35" t="e">
        <f t="shared" si="57"/>
        <v>#DIV/0!</v>
      </c>
      <c r="AJ87" s="35" t="e">
        <f t="shared" si="57"/>
        <v>#DIV/0!</v>
      </c>
      <c r="AK87" s="35" t="e">
        <f t="shared" si="57"/>
        <v>#DIV/0!</v>
      </c>
      <c r="AL87" s="35" t="e">
        <f t="shared" si="57"/>
        <v>#DIV/0!</v>
      </c>
      <c r="AM87" s="35" t="e">
        <f t="shared" si="57"/>
        <v>#DIV/0!</v>
      </c>
      <c r="AN87" s="35" t="e">
        <f t="shared" si="57"/>
        <v>#DIV/0!</v>
      </c>
      <c r="AO87" s="35" t="e">
        <f t="shared" si="57"/>
        <v>#DIV/0!</v>
      </c>
      <c r="AP87" s="33"/>
      <c r="AQ87" s="43">
        <f t="shared" si="39"/>
        <v>0</v>
      </c>
      <c r="AR87" s="43">
        <f t="shared" si="40"/>
        <v>0</v>
      </c>
      <c r="BB87" s="24">
        <v>80</v>
      </c>
      <c r="BC87" s="42">
        <f t="shared" si="48"/>
        <v>0</v>
      </c>
      <c r="BD87" s="26">
        <f t="shared" si="45"/>
        <v>-1.0000000000000001E-5</v>
      </c>
      <c r="BE87" s="27">
        <f t="shared" si="49"/>
        <v>-5.0000000000000004E-6</v>
      </c>
      <c r="BF87" s="28">
        <f t="shared" si="50"/>
        <v>-1.0000000000000001E-5</v>
      </c>
      <c r="BG87" s="29">
        <f t="shared" si="51"/>
        <v>0</v>
      </c>
      <c r="BH87" s="30" t="e">
        <f t="shared" si="46"/>
        <v>#DIV/0!</v>
      </c>
      <c r="BI87" s="31">
        <f t="shared" si="54"/>
        <v>0</v>
      </c>
      <c r="BJ87" s="30" t="e">
        <f t="shared" si="47"/>
        <v>#DIV/0!</v>
      </c>
      <c r="BK87" s="32" t="e">
        <f t="shared" si="52"/>
        <v>#DIV/0!</v>
      </c>
      <c r="BM87" s="33" t="e">
        <f t="shared" si="53"/>
        <v>#DIV/0!</v>
      </c>
    </row>
    <row r="88" spans="3:65" x14ac:dyDescent="0.3">
      <c r="C88" s="174" t="str">
        <f t="shared" si="28"/>
        <v/>
      </c>
      <c r="Q88" s="33">
        <v>0</v>
      </c>
      <c r="R88" s="35" t="e">
        <f>$P$22</f>
        <v>#DIV/0!</v>
      </c>
      <c r="S88" s="25" t="e">
        <f t="shared" si="56"/>
        <v>#DIV/0!</v>
      </c>
      <c r="Y88" s="14"/>
      <c r="AD88" s="33">
        <v>84</v>
      </c>
      <c r="AE88" s="33">
        <f t="shared" si="38"/>
        <v>0</v>
      </c>
      <c r="AF88" s="33" t="str">
        <f t="shared" si="43"/>
        <v>OGW</v>
      </c>
      <c r="AG88" s="43" t="str">
        <f t="shared" si="42"/>
        <v>OGW</v>
      </c>
      <c r="AH88" s="33" t="e">
        <f t="shared" si="44"/>
        <v>#DIV/0!</v>
      </c>
      <c r="AI88" s="35" t="e">
        <f t="shared" si="57"/>
        <v>#DIV/0!</v>
      </c>
      <c r="AJ88" s="35" t="e">
        <f t="shared" si="57"/>
        <v>#DIV/0!</v>
      </c>
      <c r="AK88" s="35" t="e">
        <f t="shared" si="57"/>
        <v>#DIV/0!</v>
      </c>
      <c r="AL88" s="35" t="e">
        <f t="shared" si="57"/>
        <v>#DIV/0!</v>
      </c>
      <c r="AM88" s="35" t="e">
        <f t="shared" si="57"/>
        <v>#DIV/0!</v>
      </c>
      <c r="AN88" s="35" t="e">
        <f t="shared" si="57"/>
        <v>#DIV/0!</v>
      </c>
      <c r="AO88" s="35" t="e">
        <f t="shared" si="57"/>
        <v>#DIV/0!</v>
      </c>
      <c r="AP88" s="33"/>
      <c r="AQ88" s="43">
        <f t="shared" si="39"/>
        <v>0</v>
      </c>
      <c r="AR88" s="43">
        <f t="shared" si="40"/>
        <v>0</v>
      </c>
      <c r="BB88" s="24">
        <v>81</v>
      </c>
      <c r="BC88" s="42">
        <f t="shared" si="48"/>
        <v>0</v>
      </c>
      <c r="BD88" s="26">
        <f t="shared" si="45"/>
        <v>-1.0000000000000001E-5</v>
      </c>
      <c r="BE88" s="27">
        <f t="shared" si="49"/>
        <v>-5.0000000000000004E-6</v>
      </c>
      <c r="BF88" s="28">
        <f t="shared" si="50"/>
        <v>-1.0000000000000001E-5</v>
      </c>
      <c r="BG88" s="29">
        <f t="shared" si="51"/>
        <v>0</v>
      </c>
      <c r="BH88" s="30" t="e">
        <f t="shared" si="46"/>
        <v>#DIV/0!</v>
      </c>
      <c r="BI88" s="31">
        <f t="shared" si="54"/>
        <v>0</v>
      </c>
      <c r="BJ88" s="30" t="e">
        <f t="shared" si="47"/>
        <v>#DIV/0!</v>
      </c>
      <c r="BK88" s="32" t="e">
        <f t="shared" si="52"/>
        <v>#DIV/0!</v>
      </c>
      <c r="BM88" s="33" t="e">
        <f t="shared" si="53"/>
        <v>#DIV/0!</v>
      </c>
    </row>
    <row r="89" spans="3:65" x14ac:dyDescent="0.3">
      <c r="C89" s="174" t="str">
        <f t="shared" si="28"/>
        <v/>
      </c>
      <c r="Q89" s="33">
        <v>0.1</v>
      </c>
      <c r="R89" s="35" t="e">
        <f t="shared" ref="R89:R99" si="58">R88+(Q89*$P$23)</f>
        <v>#DIV/0!</v>
      </c>
      <c r="S89" s="25" t="e">
        <f t="shared" si="56"/>
        <v>#DIV/0!</v>
      </c>
      <c r="Y89" s="14"/>
      <c r="AD89" s="33">
        <v>85</v>
      </c>
      <c r="AE89" s="33">
        <f t="shared" si="38"/>
        <v>0</v>
      </c>
      <c r="AF89" s="33" t="str">
        <f t="shared" si="43"/>
        <v>OGW</v>
      </c>
      <c r="AG89" s="43" t="str">
        <f t="shared" si="42"/>
        <v>OGW</v>
      </c>
      <c r="AH89" s="33" t="e">
        <f t="shared" si="44"/>
        <v>#DIV/0!</v>
      </c>
      <c r="AI89" s="35" t="e">
        <f t="shared" si="57"/>
        <v>#DIV/0!</v>
      </c>
      <c r="AJ89" s="35" t="e">
        <f t="shared" si="57"/>
        <v>#DIV/0!</v>
      </c>
      <c r="AK89" s="35" t="e">
        <f t="shared" si="57"/>
        <v>#DIV/0!</v>
      </c>
      <c r="AL89" s="35" t="e">
        <f t="shared" si="57"/>
        <v>#DIV/0!</v>
      </c>
      <c r="AM89" s="35" t="e">
        <f t="shared" si="57"/>
        <v>#DIV/0!</v>
      </c>
      <c r="AN89" s="35" t="e">
        <f t="shared" si="57"/>
        <v>#DIV/0!</v>
      </c>
      <c r="AO89" s="35" t="e">
        <f t="shared" si="57"/>
        <v>#DIV/0!</v>
      </c>
      <c r="AP89" s="33"/>
      <c r="AQ89" s="43">
        <f t="shared" si="39"/>
        <v>0</v>
      </c>
      <c r="AR89" s="43">
        <f t="shared" si="40"/>
        <v>0</v>
      </c>
      <c r="BB89" s="24">
        <v>82</v>
      </c>
      <c r="BC89" s="42">
        <f t="shared" si="48"/>
        <v>0</v>
      </c>
      <c r="BD89" s="26">
        <f t="shared" si="45"/>
        <v>-1.0000000000000001E-5</v>
      </c>
      <c r="BE89" s="27">
        <f t="shared" si="49"/>
        <v>-5.0000000000000004E-6</v>
      </c>
      <c r="BF89" s="28">
        <f t="shared" si="50"/>
        <v>-1.0000000000000001E-5</v>
      </c>
      <c r="BG89" s="29">
        <f t="shared" si="51"/>
        <v>0</v>
      </c>
      <c r="BH89" s="30" t="e">
        <f t="shared" si="46"/>
        <v>#DIV/0!</v>
      </c>
      <c r="BI89" s="31">
        <f t="shared" si="54"/>
        <v>0</v>
      </c>
      <c r="BJ89" s="30" t="e">
        <f t="shared" si="47"/>
        <v>#DIV/0!</v>
      </c>
      <c r="BK89" s="32" t="e">
        <f t="shared" si="52"/>
        <v>#DIV/0!</v>
      </c>
      <c r="BM89" s="33" t="e">
        <f t="shared" si="53"/>
        <v>#DIV/0!</v>
      </c>
    </row>
    <row r="90" spans="3:65" x14ac:dyDescent="0.3">
      <c r="C90" s="174" t="str">
        <f t="shared" si="28"/>
        <v/>
      </c>
      <c r="Q90" s="33">
        <v>0.2</v>
      </c>
      <c r="R90" s="35" t="e">
        <f t="shared" si="58"/>
        <v>#DIV/0!</v>
      </c>
      <c r="S90" s="25" t="e">
        <f t="shared" si="56"/>
        <v>#DIV/0!</v>
      </c>
      <c r="Y90" s="14"/>
      <c r="AD90" s="33">
        <v>86</v>
      </c>
      <c r="AE90" s="33">
        <f t="shared" si="38"/>
        <v>0</v>
      </c>
      <c r="AF90" s="33" t="str">
        <f t="shared" si="43"/>
        <v>OGW</v>
      </c>
      <c r="AG90" s="43" t="str">
        <f t="shared" si="42"/>
        <v>OGW</v>
      </c>
      <c r="AH90" s="33" t="e">
        <f t="shared" si="44"/>
        <v>#DIV/0!</v>
      </c>
      <c r="AI90" s="35" t="e">
        <f t="shared" si="57"/>
        <v>#DIV/0!</v>
      </c>
      <c r="AJ90" s="35" t="e">
        <f t="shared" si="57"/>
        <v>#DIV/0!</v>
      </c>
      <c r="AK90" s="35" t="e">
        <f t="shared" si="57"/>
        <v>#DIV/0!</v>
      </c>
      <c r="AL90" s="35" t="e">
        <f t="shared" si="57"/>
        <v>#DIV/0!</v>
      </c>
      <c r="AM90" s="35" t="e">
        <f t="shared" si="57"/>
        <v>#DIV/0!</v>
      </c>
      <c r="AN90" s="35" t="e">
        <f t="shared" si="57"/>
        <v>#DIV/0!</v>
      </c>
      <c r="AO90" s="35" t="e">
        <f t="shared" si="57"/>
        <v>#DIV/0!</v>
      </c>
      <c r="AP90" s="33"/>
      <c r="AQ90" s="43">
        <f t="shared" si="39"/>
        <v>0</v>
      </c>
      <c r="AR90" s="43">
        <f t="shared" si="40"/>
        <v>0</v>
      </c>
      <c r="BB90" s="24">
        <v>83</v>
      </c>
      <c r="BC90" s="42">
        <f t="shared" si="48"/>
        <v>0</v>
      </c>
      <c r="BD90" s="26">
        <f t="shared" si="45"/>
        <v>-1.0000000000000001E-5</v>
      </c>
      <c r="BE90" s="27">
        <f t="shared" si="49"/>
        <v>-5.0000000000000004E-6</v>
      </c>
      <c r="BF90" s="28">
        <f t="shared" si="50"/>
        <v>-1.0000000000000001E-5</v>
      </c>
      <c r="BG90" s="29">
        <f t="shared" si="51"/>
        <v>0</v>
      </c>
      <c r="BH90" s="30" t="e">
        <f t="shared" si="46"/>
        <v>#DIV/0!</v>
      </c>
      <c r="BI90" s="31">
        <f t="shared" si="54"/>
        <v>0</v>
      </c>
      <c r="BJ90" s="30" t="e">
        <f t="shared" si="47"/>
        <v>#DIV/0!</v>
      </c>
      <c r="BK90" s="32" t="e">
        <f t="shared" si="52"/>
        <v>#DIV/0!</v>
      </c>
      <c r="BM90" s="33" t="e">
        <f t="shared" si="53"/>
        <v>#DIV/0!</v>
      </c>
    </row>
    <row r="91" spans="3:65" x14ac:dyDescent="0.3">
      <c r="C91" s="174" t="str">
        <f t="shared" si="28"/>
        <v/>
      </c>
      <c r="Q91" s="33">
        <v>0.3</v>
      </c>
      <c r="R91" s="35" t="e">
        <f t="shared" si="58"/>
        <v>#DIV/0!</v>
      </c>
      <c r="S91" s="25" t="e">
        <f t="shared" si="56"/>
        <v>#DIV/0!</v>
      </c>
      <c r="Y91" s="14"/>
      <c r="AD91" s="33">
        <v>87</v>
      </c>
      <c r="AE91" s="33">
        <f t="shared" si="38"/>
        <v>0</v>
      </c>
      <c r="AF91" s="33" t="str">
        <f t="shared" si="43"/>
        <v>OGW</v>
      </c>
      <c r="AG91" s="43" t="str">
        <f t="shared" si="42"/>
        <v>OGW</v>
      </c>
      <c r="AH91" s="33" t="e">
        <f t="shared" si="44"/>
        <v>#DIV/0!</v>
      </c>
      <c r="AI91" s="35" t="e">
        <f t="shared" si="57"/>
        <v>#DIV/0!</v>
      </c>
      <c r="AJ91" s="35" t="e">
        <f t="shared" si="57"/>
        <v>#DIV/0!</v>
      </c>
      <c r="AK91" s="35" t="e">
        <f t="shared" si="57"/>
        <v>#DIV/0!</v>
      </c>
      <c r="AL91" s="35" t="e">
        <f t="shared" si="57"/>
        <v>#DIV/0!</v>
      </c>
      <c r="AM91" s="35" t="e">
        <f t="shared" si="57"/>
        <v>#DIV/0!</v>
      </c>
      <c r="AN91" s="35" t="e">
        <f t="shared" si="57"/>
        <v>#DIV/0!</v>
      </c>
      <c r="AO91" s="35" t="e">
        <f t="shared" si="57"/>
        <v>#DIV/0!</v>
      </c>
      <c r="AP91" s="33"/>
      <c r="AQ91" s="43">
        <f t="shared" si="39"/>
        <v>0</v>
      </c>
      <c r="AR91" s="43">
        <f t="shared" si="40"/>
        <v>0</v>
      </c>
      <c r="BB91" s="24">
        <v>84</v>
      </c>
      <c r="BC91" s="42">
        <f t="shared" si="48"/>
        <v>0</v>
      </c>
      <c r="BD91" s="26">
        <f t="shared" si="45"/>
        <v>-1.0000000000000001E-5</v>
      </c>
      <c r="BE91" s="27">
        <f t="shared" si="49"/>
        <v>-5.0000000000000004E-6</v>
      </c>
      <c r="BF91" s="28">
        <f t="shared" si="50"/>
        <v>-1.0000000000000001E-5</v>
      </c>
      <c r="BG91" s="29">
        <f t="shared" si="51"/>
        <v>0</v>
      </c>
      <c r="BH91" s="30" t="e">
        <f t="shared" si="46"/>
        <v>#DIV/0!</v>
      </c>
      <c r="BI91" s="31">
        <f t="shared" si="54"/>
        <v>0</v>
      </c>
      <c r="BJ91" s="30" t="e">
        <f t="shared" si="47"/>
        <v>#DIV/0!</v>
      </c>
      <c r="BK91" s="32" t="e">
        <f t="shared" si="52"/>
        <v>#DIV/0!</v>
      </c>
      <c r="BM91" s="33" t="e">
        <f t="shared" si="53"/>
        <v>#DIV/0!</v>
      </c>
    </row>
    <row r="92" spans="3:65" x14ac:dyDescent="0.3">
      <c r="C92" s="174" t="str">
        <f t="shared" si="28"/>
        <v/>
      </c>
      <c r="Q92" s="33">
        <v>0.4</v>
      </c>
      <c r="R92" s="35" t="e">
        <f t="shared" si="58"/>
        <v>#DIV/0!</v>
      </c>
      <c r="S92" s="25" t="e">
        <f t="shared" si="56"/>
        <v>#DIV/0!</v>
      </c>
      <c r="Y92" s="14"/>
      <c r="AD92" s="33">
        <v>88</v>
      </c>
      <c r="AE92" s="33">
        <f t="shared" si="38"/>
        <v>0</v>
      </c>
      <c r="AF92" s="33" t="str">
        <f t="shared" si="43"/>
        <v>OGW</v>
      </c>
      <c r="AG92" s="43" t="str">
        <f t="shared" si="42"/>
        <v>OGW</v>
      </c>
      <c r="AH92" s="33" t="e">
        <f t="shared" si="44"/>
        <v>#DIV/0!</v>
      </c>
      <c r="AI92" s="35" t="e">
        <f t="shared" si="57"/>
        <v>#DIV/0!</v>
      </c>
      <c r="AJ92" s="35" t="e">
        <f t="shared" si="57"/>
        <v>#DIV/0!</v>
      </c>
      <c r="AK92" s="35" t="e">
        <f t="shared" si="57"/>
        <v>#DIV/0!</v>
      </c>
      <c r="AL92" s="35" t="e">
        <f t="shared" si="57"/>
        <v>#DIV/0!</v>
      </c>
      <c r="AM92" s="35" t="e">
        <f t="shared" si="57"/>
        <v>#DIV/0!</v>
      </c>
      <c r="AN92" s="35" t="e">
        <f t="shared" si="57"/>
        <v>#DIV/0!</v>
      </c>
      <c r="AO92" s="35" t="e">
        <f t="shared" si="57"/>
        <v>#DIV/0!</v>
      </c>
      <c r="AP92" s="33"/>
      <c r="AQ92" s="43">
        <f t="shared" si="39"/>
        <v>0</v>
      </c>
      <c r="AR92" s="43">
        <f t="shared" si="40"/>
        <v>0</v>
      </c>
      <c r="BB92" s="24">
        <v>85</v>
      </c>
      <c r="BC92" s="42">
        <f t="shared" si="48"/>
        <v>0</v>
      </c>
      <c r="BD92" s="26">
        <f t="shared" si="45"/>
        <v>-1.0000000000000001E-5</v>
      </c>
      <c r="BE92" s="27">
        <f t="shared" si="49"/>
        <v>-5.0000000000000004E-6</v>
      </c>
      <c r="BF92" s="28">
        <f t="shared" si="50"/>
        <v>-1.0000000000000001E-5</v>
      </c>
      <c r="BG92" s="29">
        <f t="shared" si="51"/>
        <v>0</v>
      </c>
      <c r="BH92" s="30" t="e">
        <f t="shared" si="46"/>
        <v>#DIV/0!</v>
      </c>
      <c r="BI92" s="31">
        <f t="shared" si="54"/>
        <v>0</v>
      </c>
      <c r="BJ92" s="30" t="e">
        <f t="shared" si="47"/>
        <v>#DIV/0!</v>
      </c>
      <c r="BK92" s="32" t="e">
        <f t="shared" si="52"/>
        <v>#DIV/0!</v>
      </c>
      <c r="BM92" s="33" t="e">
        <f t="shared" si="53"/>
        <v>#DIV/0!</v>
      </c>
    </row>
    <row r="93" spans="3:65" x14ac:dyDescent="0.3">
      <c r="C93" s="174" t="str">
        <f t="shared" si="28"/>
        <v/>
      </c>
      <c r="Q93" s="33">
        <v>0.5</v>
      </c>
      <c r="R93" s="35" t="e">
        <f t="shared" si="58"/>
        <v>#DIV/0!</v>
      </c>
      <c r="S93" s="25" t="e">
        <f t="shared" si="56"/>
        <v>#DIV/0!</v>
      </c>
      <c r="Y93" s="14"/>
      <c r="AD93" s="33">
        <v>89</v>
      </c>
      <c r="AE93" s="33">
        <f t="shared" si="38"/>
        <v>0</v>
      </c>
      <c r="AF93" s="33" t="str">
        <f t="shared" si="43"/>
        <v>OGW</v>
      </c>
      <c r="AG93" s="43" t="str">
        <f t="shared" si="42"/>
        <v>OGW</v>
      </c>
      <c r="AH93" s="33" t="e">
        <f t="shared" si="44"/>
        <v>#DIV/0!</v>
      </c>
      <c r="AI93" s="35" t="e">
        <f t="shared" si="57"/>
        <v>#DIV/0!</v>
      </c>
      <c r="AJ93" s="35" t="e">
        <f t="shared" si="57"/>
        <v>#DIV/0!</v>
      </c>
      <c r="AK93" s="35" t="e">
        <f t="shared" si="57"/>
        <v>#DIV/0!</v>
      </c>
      <c r="AL93" s="35" t="e">
        <f t="shared" si="57"/>
        <v>#DIV/0!</v>
      </c>
      <c r="AM93" s="35" t="e">
        <f t="shared" si="57"/>
        <v>#DIV/0!</v>
      </c>
      <c r="AN93" s="35" t="e">
        <f t="shared" si="57"/>
        <v>#DIV/0!</v>
      </c>
      <c r="AO93" s="35" t="e">
        <f t="shared" si="57"/>
        <v>#DIV/0!</v>
      </c>
      <c r="AP93" s="33"/>
      <c r="AQ93" s="43">
        <f t="shared" si="39"/>
        <v>0</v>
      </c>
      <c r="AR93" s="43">
        <f t="shared" si="40"/>
        <v>0</v>
      </c>
      <c r="BB93" s="24">
        <v>86</v>
      </c>
      <c r="BC93" s="42">
        <f t="shared" si="48"/>
        <v>0</v>
      </c>
      <c r="BD93" s="26">
        <f t="shared" si="45"/>
        <v>-1.0000000000000001E-5</v>
      </c>
      <c r="BE93" s="27">
        <f t="shared" si="49"/>
        <v>-5.0000000000000004E-6</v>
      </c>
      <c r="BF93" s="28">
        <f t="shared" si="50"/>
        <v>-1.0000000000000001E-5</v>
      </c>
      <c r="BG93" s="29">
        <f t="shared" si="51"/>
        <v>0</v>
      </c>
      <c r="BH93" s="30" t="e">
        <f t="shared" si="46"/>
        <v>#DIV/0!</v>
      </c>
      <c r="BI93" s="31">
        <f t="shared" si="54"/>
        <v>0</v>
      </c>
      <c r="BJ93" s="30" t="e">
        <f t="shared" si="47"/>
        <v>#DIV/0!</v>
      </c>
      <c r="BK93" s="32" t="e">
        <f t="shared" si="52"/>
        <v>#DIV/0!</v>
      </c>
      <c r="BM93" s="33" t="e">
        <f t="shared" si="53"/>
        <v>#DIV/0!</v>
      </c>
    </row>
    <row r="94" spans="3:65" x14ac:dyDescent="0.3">
      <c r="C94" s="174" t="str">
        <f t="shared" si="28"/>
        <v/>
      </c>
      <c r="Q94" s="33">
        <v>0.6</v>
      </c>
      <c r="R94" s="35" t="e">
        <f t="shared" si="58"/>
        <v>#DIV/0!</v>
      </c>
      <c r="S94" s="25" t="e">
        <f t="shared" si="56"/>
        <v>#DIV/0!</v>
      </c>
      <c r="Y94" s="14"/>
      <c r="AD94" s="33">
        <v>90</v>
      </c>
      <c r="AE94" s="33">
        <f t="shared" si="38"/>
        <v>0</v>
      </c>
      <c r="AF94" s="33" t="str">
        <f t="shared" si="43"/>
        <v>OGW</v>
      </c>
      <c r="AG94" s="43" t="str">
        <f t="shared" si="42"/>
        <v>OGW</v>
      </c>
      <c r="AH94" s="33" t="e">
        <f t="shared" si="44"/>
        <v>#DIV/0!</v>
      </c>
      <c r="AI94" s="35" t="e">
        <f t="shared" si="57"/>
        <v>#DIV/0!</v>
      </c>
      <c r="AJ94" s="35" t="e">
        <f t="shared" si="57"/>
        <v>#DIV/0!</v>
      </c>
      <c r="AK94" s="35" t="e">
        <f t="shared" si="57"/>
        <v>#DIV/0!</v>
      </c>
      <c r="AL94" s="35" t="e">
        <f t="shared" si="57"/>
        <v>#DIV/0!</v>
      </c>
      <c r="AM94" s="35" t="e">
        <f t="shared" si="57"/>
        <v>#DIV/0!</v>
      </c>
      <c r="AN94" s="35" t="e">
        <f t="shared" si="57"/>
        <v>#DIV/0!</v>
      </c>
      <c r="AO94" s="35" t="e">
        <f t="shared" si="57"/>
        <v>#DIV/0!</v>
      </c>
      <c r="AP94" s="33"/>
      <c r="AQ94" s="43">
        <f t="shared" si="39"/>
        <v>0</v>
      </c>
      <c r="AR94" s="43">
        <f t="shared" si="40"/>
        <v>0</v>
      </c>
      <c r="BB94" s="24">
        <v>87</v>
      </c>
      <c r="BC94" s="42">
        <f t="shared" si="48"/>
        <v>0</v>
      </c>
      <c r="BD94" s="26">
        <f t="shared" si="45"/>
        <v>-1.0000000000000001E-5</v>
      </c>
      <c r="BE94" s="27">
        <f t="shared" si="49"/>
        <v>-5.0000000000000004E-6</v>
      </c>
      <c r="BF94" s="28">
        <f t="shared" si="50"/>
        <v>-1.0000000000000001E-5</v>
      </c>
      <c r="BG94" s="29">
        <f t="shared" si="51"/>
        <v>0</v>
      </c>
      <c r="BH94" s="30" t="e">
        <f t="shared" si="46"/>
        <v>#DIV/0!</v>
      </c>
      <c r="BI94" s="31">
        <f t="shared" si="54"/>
        <v>0</v>
      </c>
      <c r="BJ94" s="30" t="e">
        <f t="shared" si="47"/>
        <v>#DIV/0!</v>
      </c>
      <c r="BK94" s="32" t="e">
        <f t="shared" si="52"/>
        <v>#DIV/0!</v>
      </c>
      <c r="BM94" s="33" t="e">
        <f t="shared" si="53"/>
        <v>#DIV/0!</v>
      </c>
    </row>
    <row r="95" spans="3:65" x14ac:dyDescent="0.3">
      <c r="C95" s="174" t="str">
        <f t="shared" si="28"/>
        <v/>
      </c>
      <c r="Q95" s="33">
        <v>0.7</v>
      </c>
      <c r="R95" s="35" t="e">
        <f t="shared" si="58"/>
        <v>#DIV/0!</v>
      </c>
      <c r="S95" s="25" t="e">
        <f t="shared" si="56"/>
        <v>#DIV/0!</v>
      </c>
      <c r="Y95" s="14"/>
      <c r="AD95" s="33">
        <v>91</v>
      </c>
      <c r="AE95" s="33">
        <f t="shared" si="38"/>
        <v>0</v>
      </c>
      <c r="AF95" s="33" t="str">
        <f t="shared" si="43"/>
        <v>OGW</v>
      </c>
      <c r="AG95" s="43" t="str">
        <f t="shared" si="42"/>
        <v>OGW</v>
      </c>
      <c r="AH95" s="33" t="e">
        <f t="shared" si="44"/>
        <v>#DIV/0!</v>
      </c>
      <c r="AI95" s="35" t="e">
        <f t="shared" si="57"/>
        <v>#DIV/0!</v>
      </c>
      <c r="AJ95" s="35" t="e">
        <f t="shared" si="57"/>
        <v>#DIV/0!</v>
      </c>
      <c r="AK95" s="35" t="e">
        <f t="shared" si="57"/>
        <v>#DIV/0!</v>
      </c>
      <c r="AL95" s="35" t="e">
        <f t="shared" si="57"/>
        <v>#DIV/0!</v>
      </c>
      <c r="AM95" s="35" t="e">
        <f t="shared" si="57"/>
        <v>#DIV/0!</v>
      </c>
      <c r="AN95" s="35" t="e">
        <f t="shared" si="57"/>
        <v>#DIV/0!</v>
      </c>
      <c r="AO95" s="35" t="e">
        <f t="shared" si="57"/>
        <v>#DIV/0!</v>
      </c>
      <c r="AP95" s="33"/>
      <c r="AQ95" s="43">
        <f t="shared" si="39"/>
        <v>0</v>
      </c>
      <c r="AR95" s="43">
        <f t="shared" si="40"/>
        <v>0</v>
      </c>
      <c r="BB95" s="24">
        <v>88</v>
      </c>
      <c r="BC95" s="42">
        <f t="shared" si="48"/>
        <v>0</v>
      </c>
      <c r="BD95" s="26">
        <f t="shared" si="45"/>
        <v>-1.0000000000000001E-5</v>
      </c>
      <c r="BE95" s="27">
        <f t="shared" si="49"/>
        <v>-5.0000000000000004E-6</v>
      </c>
      <c r="BF95" s="28">
        <f t="shared" si="50"/>
        <v>-1.0000000000000001E-5</v>
      </c>
      <c r="BG95" s="29">
        <f t="shared" si="51"/>
        <v>0</v>
      </c>
      <c r="BH95" s="30" t="e">
        <f t="shared" si="46"/>
        <v>#DIV/0!</v>
      </c>
      <c r="BI95" s="31">
        <f t="shared" si="54"/>
        <v>0</v>
      </c>
      <c r="BJ95" s="30" t="e">
        <f t="shared" si="47"/>
        <v>#DIV/0!</v>
      </c>
      <c r="BK95" s="32" t="e">
        <f t="shared" si="52"/>
        <v>#DIV/0!</v>
      </c>
      <c r="BM95" s="33" t="e">
        <f t="shared" si="53"/>
        <v>#DIV/0!</v>
      </c>
    </row>
    <row r="96" spans="3:65" x14ac:dyDescent="0.3">
      <c r="C96" s="174" t="str">
        <f t="shared" si="28"/>
        <v/>
      </c>
      <c r="Q96" s="33">
        <v>0.8</v>
      </c>
      <c r="R96" s="35" t="e">
        <f t="shared" si="58"/>
        <v>#DIV/0!</v>
      </c>
      <c r="S96" s="25" t="e">
        <f t="shared" si="56"/>
        <v>#DIV/0!</v>
      </c>
      <c r="Y96" s="14"/>
      <c r="AD96" s="33">
        <v>92</v>
      </c>
      <c r="AE96" s="33">
        <f t="shared" si="38"/>
        <v>0</v>
      </c>
      <c r="AF96" s="33" t="str">
        <f t="shared" si="43"/>
        <v>OGW</v>
      </c>
      <c r="AG96" s="43" t="str">
        <f t="shared" si="42"/>
        <v>OGW</v>
      </c>
      <c r="AH96" s="33" t="e">
        <f t="shared" si="44"/>
        <v>#DIV/0!</v>
      </c>
      <c r="AI96" s="35" t="e">
        <f t="shared" si="57"/>
        <v>#DIV/0!</v>
      </c>
      <c r="AJ96" s="35" t="e">
        <f t="shared" si="57"/>
        <v>#DIV/0!</v>
      </c>
      <c r="AK96" s="35" t="e">
        <f t="shared" si="57"/>
        <v>#DIV/0!</v>
      </c>
      <c r="AL96" s="35" t="e">
        <f t="shared" si="57"/>
        <v>#DIV/0!</v>
      </c>
      <c r="AM96" s="35" t="e">
        <f t="shared" si="57"/>
        <v>#DIV/0!</v>
      </c>
      <c r="AN96" s="35" t="e">
        <f t="shared" si="57"/>
        <v>#DIV/0!</v>
      </c>
      <c r="AO96" s="35" t="e">
        <f t="shared" si="57"/>
        <v>#DIV/0!</v>
      </c>
      <c r="AP96" s="33"/>
      <c r="AQ96" s="43">
        <f t="shared" si="39"/>
        <v>0</v>
      </c>
      <c r="AR96" s="43">
        <f t="shared" si="40"/>
        <v>0</v>
      </c>
      <c r="BB96" s="24">
        <v>89</v>
      </c>
      <c r="BC96" s="42">
        <f t="shared" si="48"/>
        <v>0</v>
      </c>
      <c r="BD96" s="26">
        <f t="shared" si="45"/>
        <v>-1.0000000000000001E-5</v>
      </c>
      <c r="BE96" s="27">
        <f t="shared" si="49"/>
        <v>-5.0000000000000004E-6</v>
      </c>
      <c r="BF96" s="28">
        <f t="shared" si="50"/>
        <v>-1.0000000000000001E-5</v>
      </c>
      <c r="BG96" s="29">
        <f t="shared" si="51"/>
        <v>0</v>
      </c>
      <c r="BH96" s="30" t="e">
        <f t="shared" si="46"/>
        <v>#DIV/0!</v>
      </c>
      <c r="BI96" s="31">
        <f t="shared" si="54"/>
        <v>0</v>
      </c>
      <c r="BJ96" s="30" t="e">
        <f t="shared" si="47"/>
        <v>#DIV/0!</v>
      </c>
      <c r="BK96" s="32" t="e">
        <f t="shared" si="52"/>
        <v>#DIV/0!</v>
      </c>
      <c r="BM96" s="33" t="e">
        <f t="shared" si="53"/>
        <v>#DIV/0!</v>
      </c>
    </row>
    <row r="97" spans="3:65" x14ac:dyDescent="0.3">
      <c r="C97" s="174" t="str">
        <f t="shared" si="28"/>
        <v/>
      </c>
      <c r="Q97" s="33">
        <v>0.9</v>
      </c>
      <c r="R97" s="35" t="e">
        <f t="shared" si="58"/>
        <v>#DIV/0!</v>
      </c>
      <c r="S97" s="25" t="e">
        <f t="shared" si="56"/>
        <v>#DIV/0!</v>
      </c>
      <c r="Y97" s="14"/>
      <c r="AD97" s="33">
        <v>93</v>
      </c>
      <c r="AE97" s="33">
        <f t="shared" si="38"/>
        <v>0</v>
      </c>
      <c r="AF97" s="33" t="str">
        <f t="shared" si="43"/>
        <v>OGW</v>
      </c>
      <c r="AG97" s="43" t="str">
        <f t="shared" si="42"/>
        <v>OGW</v>
      </c>
      <c r="AH97" s="33" t="e">
        <f t="shared" si="44"/>
        <v>#DIV/0!</v>
      </c>
      <c r="AI97" s="35" t="e">
        <f t="shared" si="57"/>
        <v>#DIV/0!</v>
      </c>
      <c r="AJ97" s="35" t="e">
        <f t="shared" si="57"/>
        <v>#DIV/0!</v>
      </c>
      <c r="AK97" s="35" t="e">
        <f t="shared" si="57"/>
        <v>#DIV/0!</v>
      </c>
      <c r="AL97" s="35" t="e">
        <f t="shared" si="57"/>
        <v>#DIV/0!</v>
      </c>
      <c r="AM97" s="35" t="e">
        <f t="shared" si="57"/>
        <v>#DIV/0!</v>
      </c>
      <c r="AN97" s="35" t="e">
        <f t="shared" si="57"/>
        <v>#DIV/0!</v>
      </c>
      <c r="AO97" s="35" t="e">
        <f t="shared" si="57"/>
        <v>#DIV/0!</v>
      </c>
      <c r="AP97" s="33"/>
      <c r="AQ97" s="43">
        <f t="shared" si="39"/>
        <v>0</v>
      </c>
      <c r="AR97" s="43">
        <f t="shared" si="40"/>
        <v>0</v>
      </c>
      <c r="BB97" s="24">
        <v>90</v>
      </c>
      <c r="BC97" s="42">
        <f t="shared" si="48"/>
        <v>0</v>
      </c>
      <c r="BD97" s="26">
        <f t="shared" si="45"/>
        <v>-1.0000000000000001E-5</v>
      </c>
      <c r="BE97" s="27">
        <f t="shared" si="49"/>
        <v>-5.0000000000000004E-6</v>
      </c>
      <c r="BF97" s="28">
        <f t="shared" si="50"/>
        <v>-1.0000000000000001E-5</v>
      </c>
      <c r="BG97" s="29">
        <f t="shared" si="51"/>
        <v>0</v>
      </c>
      <c r="BH97" s="30" t="e">
        <f t="shared" si="46"/>
        <v>#DIV/0!</v>
      </c>
      <c r="BI97" s="31">
        <f t="shared" si="54"/>
        <v>0</v>
      </c>
      <c r="BJ97" s="30" t="e">
        <f t="shared" si="47"/>
        <v>#DIV/0!</v>
      </c>
      <c r="BK97" s="32" t="e">
        <f t="shared" si="52"/>
        <v>#DIV/0!</v>
      </c>
      <c r="BM97" s="33" t="e">
        <f t="shared" si="53"/>
        <v>#DIV/0!</v>
      </c>
    </row>
    <row r="98" spans="3:65" x14ac:dyDescent="0.3">
      <c r="C98" s="174" t="str">
        <f t="shared" si="28"/>
        <v/>
      </c>
      <c r="Q98" s="33">
        <v>1</v>
      </c>
      <c r="R98" s="35" t="e">
        <f t="shared" si="58"/>
        <v>#DIV/0!</v>
      </c>
      <c r="S98" s="25" t="e">
        <f t="shared" si="56"/>
        <v>#DIV/0!</v>
      </c>
      <c r="AD98" s="33">
        <v>94</v>
      </c>
      <c r="AE98" s="33">
        <f t="shared" si="38"/>
        <v>0</v>
      </c>
      <c r="AF98" s="33" t="str">
        <f t="shared" si="43"/>
        <v>OGW</v>
      </c>
      <c r="AG98" s="43" t="str">
        <f t="shared" si="42"/>
        <v>OGW</v>
      </c>
      <c r="AH98" s="33" t="e">
        <f t="shared" si="44"/>
        <v>#DIV/0!</v>
      </c>
      <c r="AI98" s="35" t="e">
        <f t="shared" si="57"/>
        <v>#DIV/0!</v>
      </c>
      <c r="AJ98" s="35" t="e">
        <f t="shared" si="57"/>
        <v>#DIV/0!</v>
      </c>
      <c r="AK98" s="35" t="e">
        <f t="shared" si="57"/>
        <v>#DIV/0!</v>
      </c>
      <c r="AL98" s="35" t="e">
        <f t="shared" si="57"/>
        <v>#DIV/0!</v>
      </c>
      <c r="AM98" s="35" t="e">
        <f t="shared" si="57"/>
        <v>#DIV/0!</v>
      </c>
      <c r="AN98" s="35" t="e">
        <f t="shared" si="57"/>
        <v>#DIV/0!</v>
      </c>
      <c r="AO98" s="35" t="e">
        <f t="shared" si="57"/>
        <v>#DIV/0!</v>
      </c>
      <c r="AP98" s="33"/>
      <c r="AQ98" s="43">
        <f t="shared" si="39"/>
        <v>0</v>
      </c>
      <c r="AR98" s="43">
        <f t="shared" si="40"/>
        <v>0</v>
      </c>
      <c r="BB98" s="24">
        <v>91</v>
      </c>
      <c r="BC98" s="42">
        <f t="shared" si="48"/>
        <v>0</v>
      </c>
      <c r="BD98" s="26">
        <f t="shared" si="45"/>
        <v>-1.0000000000000001E-5</v>
      </c>
      <c r="BE98" s="27">
        <f t="shared" si="49"/>
        <v>-5.0000000000000004E-6</v>
      </c>
      <c r="BF98" s="28">
        <f t="shared" si="50"/>
        <v>-1.0000000000000001E-5</v>
      </c>
      <c r="BG98" s="29">
        <f t="shared" si="51"/>
        <v>0</v>
      </c>
      <c r="BH98" s="30" t="e">
        <f t="shared" si="46"/>
        <v>#DIV/0!</v>
      </c>
      <c r="BI98" s="31">
        <f t="shared" si="54"/>
        <v>0</v>
      </c>
      <c r="BJ98" s="30" t="e">
        <f t="shared" si="47"/>
        <v>#DIV/0!</v>
      </c>
      <c r="BK98" s="32" t="e">
        <f t="shared" si="52"/>
        <v>#DIV/0!</v>
      </c>
      <c r="BM98" s="33" t="e">
        <f t="shared" si="53"/>
        <v>#DIV/0!</v>
      </c>
    </row>
    <row r="99" spans="3:65" x14ac:dyDescent="0.3">
      <c r="C99" s="174" t="str">
        <f t="shared" si="28"/>
        <v/>
      </c>
      <c r="Q99" s="33">
        <v>1.1000000000000001</v>
      </c>
      <c r="R99" s="35" t="e">
        <f t="shared" si="58"/>
        <v>#DIV/0!</v>
      </c>
      <c r="S99" s="25" t="e">
        <f t="shared" si="56"/>
        <v>#DIV/0!</v>
      </c>
      <c r="AD99" s="33">
        <v>95</v>
      </c>
      <c r="AE99" s="33">
        <f t="shared" si="38"/>
        <v>0</v>
      </c>
      <c r="AF99" s="33" t="str">
        <f t="shared" si="43"/>
        <v>OGW</v>
      </c>
      <c r="AG99" s="43" t="str">
        <f t="shared" si="42"/>
        <v>OGW</v>
      </c>
      <c r="AH99" s="33" t="e">
        <f t="shared" si="44"/>
        <v>#DIV/0!</v>
      </c>
      <c r="AI99" s="35" t="e">
        <f t="shared" si="57"/>
        <v>#DIV/0!</v>
      </c>
      <c r="AJ99" s="35" t="e">
        <f t="shared" si="57"/>
        <v>#DIV/0!</v>
      </c>
      <c r="AK99" s="35" t="e">
        <f t="shared" si="57"/>
        <v>#DIV/0!</v>
      </c>
      <c r="AL99" s="35" t="e">
        <f t="shared" si="57"/>
        <v>#DIV/0!</v>
      </c>
      <c r="AM99" s="35" t="e">
        <f t="shared" si="57"/>
        <v>#DIV/0!</v>
      </c>
      <c r="AN99" s="35" t="e">
        <f t="shared" si="57"/>
        <v>#DIV/0!</v>
      </c>
      <c r="AO99" s="35" t="e">
        <f t="shared" si="57"/>
        <v>#DIV/0!</v>
      </c>
      <c r="AP99" s="33"/>
      <c r="AQ99" s="43">
        <f t="shared" si="39"/>
        <v>0</v>
      </c>
      <c r="AR99" s="43">
        <f t="shared" si="40"/>
        <v>0</v>
      </c>
      <c r="BB99" s="24">
        <v>92</v>
      </c>
      <c r="BC99" s="42">
        <f t="shared" si="48"/>
        <v>0</v>
      </c>
      <c r="BD99" s="26">
        <f t="shared" si="45"/>
        <v>-1.0000000000000001E-5</v>
      </c>
      <c r="BE99" s="27">
        <f t="shared" si="49"/>
        <v>-5.0000000000000004E-6</v>
      </c>
      <c r="BF99" s="28">
        <f t="shared" si="50"/>
        <v>-1.0000000000000001E-5</v>
      </c>
      <c r="BG99" s="29">
        <f t="shared" si="51"/>
        <v>0</v>
      </c>
      <c r="BH99" s="30" t="e">
        <f t="shared" si="46"/>
        <v>#DIV/0!</v>
      </c>
      <c r="BI99" s="31">
        <f t="shared" si="54"/>
        <v>0</v>
      </c>
      <c r="BJ99" s="30" t="e">
        <f t="shared" si="47"/>
        <v>#DIV/0!</v>
      </c>
      <c r="BK99" s="32" t="e">
        <f t="shared" si="52"/>
        <v>#DIV/0!</v>
      </c>
      <c r="BM99" s="33" t="e">
        <f t="shared" si="53"/>
        <v>#DIV/0!</v>
      </c>
    </row>
    <row r="100" spans="3:65" x14ac:dyDescent="0.3">
      <c r="C100" s="174" t="str">
        <f t="shared" si="28"/>
        <v/>
      </c>
      <c r="AD100" s="33">
        <v>96</v>
      </c>
      <c r="AE100" s="33">
        <f t="shared" si="38"/>
        <v>0</v>
      </c>
      <c r="AF100" s="33" t="str">
        <f t="shared" si="43"/>
        <v>OGW</v>
      </c>
      <c r="AG100" s="43" t="str">
        <f t="shared" si="42"/>
        <v>OGW</v>
      </c>
      <c r="AH100" s="33" t="e">
        <f t="shared" si="44"/>
        <v>#DIV/0!</v>
      </c>
      <c r="AI100" s="35" t="e">
        <f t="shared" si="57"/>
        <v>#DIV/0!</v>
      </c>
      <c r="AJ100" s="35" t="e">
        <f t="shared" si="57"/>
        <v>#DIV/0!</v>
      </c>
      <c r="AK100" s="35" t="e">
        <f t="shared" si="57"/>
        <v>#DIV/0!</v>
      </c>
      <c r="AL100" s="35" t="e">
        <f t="shared" si="57"/>
        <v>#DIV/0!</v>
      </c>
      <c r="AM100" s="35" t="e">
        <f t="shared" si="57"/>
        <v>#DIV/0!</v>
      </c>
      <c r="AN100" s="35" t="e">
        <f t="shared" si="57"/>
        <v>#DIV/0!</v>
      </c>
      <c r="AO100" s="35" t="e">
        <f t="shared" si="57"/>
        <v>#DIV/0!</v>
      </c>
      <c r="AP100" s="33"/>
      <c r="AQ100" s="43">
        <f t="shared" si="39"/>
        <v>0</v>
      </c>
      <c r="AR100" s="43">
        <f t="shared" si="40"/>
        <v>0</v>
      </c>
      <c r="BB100" s="24">
        <v>93</v>
      </c>
      <c r="BC100" s="42">
        <f t="shared" si="48"/>
        <v>0</v>
      </c>
      <c r="BD100" s="26">
        <f t="shared" si="45"/>
        <v>-1.0000000000000001E-5</v>
      </c>
      <c r="BE100" s="27">
        <f t="shared" si="49"/>
        <v>-5.0000000000000004E-6</v>
      </c>
      <c r="BF100" s="28">
        <f t="shared" si="50"/>
        <v>-1.0000000000000001E-5</v>
      </c>
      <c r="BG100" s="29">
        <f t="shared" si="51"/>
        <v>0</v>
      </c>
      <c r="BH100" s="30" t="e">
        <f t="shared" si="46"/>
        <v>#DIV/0!</v>
      </c>
      <c r="BI100" s="31">
        <f t="shared" si="54"/>
        <v>0</v>
      </c>
      <c r="BJ100" s="30" t="e">
        <f t="shared" si="47"/>
        <v>#DIV/0!</v>
      </c>
      <c r="BK100" s="32" t="e">
        <f t="shared" si="52"/>
        <v>#DIV/0!</v>
      </c>
      <c r="BM100" s="33" t="e">
        <f t="shared" si="53"/>
        <v>#DIV/0!</v>
      </c>
    </row>
    <row r="101" spans="3:65" x14ac:dyDescent="0.3">
      <c r="C101" s="174" t="str">
        <f t="shared" si="28"/>
        <v/>
      </c>
      <c r="AD101" s="33">
        <v>97</v>
      </c>
      <c r="AE101" s="33">
        <f t="shared" ref="AE101:AE132" si="59">IF(($P$21&gt;AD101),AD101,$P$21)</f>
        <v>0</v>
      </c>
      <c r="AF101" s="33" t="str">
        <f t="shared" si="43"/>
        <v>OGW</v>
      </c>
      <c r="AG101" s="43" t="str">
        <f t="shared" si="42"/>
        <v>OGW</v>
      </c>
      <c r="AH101" s="33" t="e">
        <f t="shared" si="44"/>
        <v>#DIV/0!</v>
      </c>
      <c r="AI101" s="35" t="e">
        <f t="shared" si="57"/>
        <v>#DIV/0!</v>
      </c>
      <c r="AJ101" s="35" t="e">
        <f t="shared" si="57"/>
        <v>#DIV/0!</v>
      </c>
      <c r="AK101" s="35" t="e">
        <f t="shared" si="57"/>
        <v>#DIV/0!</v>
      </c>
      <c r="AL101" s="35" t="e">
        <f t="shared" si="57"/>
        <v>#DIV/0!</v>
      </c>
      <c r="AM101" s="35" t="e">
        <f t="shared" si="57"/>
        <v>#DIV/0!</v>
      </c>
      <c r="AN101" s="35" t="e">
        <f t="shared" si="57"/>
        <v>#DIV/0!</v>
      </c>
      <c r="AO101" s="35" t="e">
        <f t="shared" si="57"/>
        <v>#DIV/0!</v>
      </c>
      <c r="AP101" s="33"/>
      <c r="AQ101" s="43">
        <f t="shared" ref="AQ101:AQ132" si="60">IF(AND(C101&lt;&gt;"",C101&lt;UGW),1,0)</f>
        <v>0</v>
      </c>
      <c r="AR101" s="43">
        <f t="shared" ref="AR101:AR132" si="61">IF(AND(C101&lt;&gt;"",C101&gt;OGW),1,0)</f>
        <v>0</v>
      </c>
      <c r="BB101" s="24">
        <v>94</v>
      </c>
      <c r="BC101" s="42">
        <f t="shared" si="48"/>
        <v>0</v>
      </c>
      <c r="BD101" s="26">
        <f t="shared" si="45"/>
        <v>-1.0000000000000001E-5</v>
      </c>
      <c r="BE101" s="27">
        <f t="shared" si="49"/>
        <v>-5.0000000000000004E-6</v>
      </c>
      <c r="BF101" s="28">
        <f t="shared" si="50"/>
        <v>-1.0000000000000001E-5</v>
      </c>
      <c r="BG101" s="29">
        <f t="shared" si="51"/>
        <v>0</v>
      </c>
      <c r="BH101" s="30" t="e">
        <f t="shared" si="46"/>
        <v>#DIV/0!</v>
      </c>
      <c r="BI101" s="31">
        <f t="shared" si="54"/>
        <v>0</v>
      </c>
      <c r="BJ101" s="30" t="e">
        <f t="shared" si="47"/>
        <v>#DIV/0!</v>
      </c>
      <c r="BK101" s="32" t="e">
        <f t="shared" si="52"/>
        <v>#DIV/0!</v>
      </c>
      <c r="BM101" s="33" t="e">
        <f t="shared" si="53"/>
        <v>#DIV/0!</v>
      </c>
    </row>
    <row r="102" spans="3:65" x14ac:dyDescent="0.3">
      <c r="C102" s="174" t="str">
        <f t="shared" si="28"/>
        <v/>
      </c>
      <c r="AD102" s="33">
        <v>98</v>
      </c>
      <c r="AE102" s="33">
        <f t="shared" si="59"/>
        <v>0</v>
      </c>
      <c r="AF102" s="33" t="str">
        <f t="shared" si="43"/>
        <v>OGW</v>
      </c>
      <c r="AG102" s="43" t="str">
        <f t="shared" si="42"/>
        <v>OGW</v>
      </c>
      <c r="AH102" s="33" t="e">
        <f t="shared" si="44"/>
        <v>#DIV/0!</v>
      </c>
      <c r="AI102" s="35" t="e">
        <f t="shared" ref="AI102:AO117" si="62">AI101</f>
        <v>#DIV/0!</v>
      </c>
      <c r="AJ102" s="35" t="e">
        <f t="shared" si="62"/>
        <v>#DIV/0!</v>
      </c>
      <c r="AK102" s="35" t="e">
        <f t="shared" si="62"/>
        <v>#DIV/0!</v>
      </c>
      <c r="AL102" s="35" t="e">
        <f t="shared" si="62"/>
        <v>#DIV/0!</v>
      </c>
      <c r="AM102" s="35" t="e">
        <f t="shared" si="62"/>
        <v>#DIV/0!</v>
      </c>
      <c r="AN102" s="35" t="e">
        <f t="shared" si="62"/>
        <v>#DIV/0!</v>
      </c>
      <c r="AO102" s="35" t="e">
        <f t="shared" si="62"/>
        <v>#DIV/0!</v>
      </c>
      <c r="AP102" s="33"/>
      <c r="AQ102" s="43">
        <f t="shared" si="60"/>
        <v>0</v>
      </c>
      <c r="AR102" s="43">
        <f t="shared" si="61"/>
        <v>0</v>
      </c>
      <c r="BB102" s="24">
        <v>95</v>
      </c>
      <c r="BC102" s="42">
        <f t="shared" si="48"/>
        <v>0</v>
      </c>
      <c r="BD102" s="26">
        <f t="shared" si="45"/>
        <v>-1.0000000000000001E-5</v>
      </c>
      <c r="BE102" s="27">
        <f t="shared" si="49"/>
        <v>-5.0000000000000004E-6</v>
      </c>
      <c r="BF102" s="28">
        <f t="shared" si="50"/>
        <v>-1.0000000000000001E-5</v>
      </c>
      <c r="BG102" s="29">
        <f t="shared" si="51"/>
        <v>0</v>
      </c>
      <c r="BH102" s="30" t="e">
        <f t="shared" si="46"/>
        <v>#DIV/0!</v>
      </c>
      <c r="BI102" s="31">
        <f t="shared" si="54"/>
        <v>0</v>
      </c>
      <c r="BJ102" s="30" t="e">
        <f t="shared" si="47"/>
        <v>#DIV/0!</v>
      </c>
      <c r="BK102" s="32" t="e">
        <f t="shared" si="52"/>
        <v>#DIV/0!</v>
      </c>
      <c r="BM102" s="33" t="e">
        <f t="shared" si="53"/>
        <v>#DIV/0!</v>
      </c>
    </row>
    <row r="103" spans="3:65" x14ac:dyDescent="0.3">
      <c r="C103" s="174" t="str">
        <f t="shared" si="28"/>
        <v/>
      </c>
      <c r="AD103" s="33">
        <v>99</v>
      </c>
      <c r="AE103" s="33">
        <f t="shared" si="59"/>
        <v>0</v>
      </c>
      <c r="AF103" s="33" t="str">
        <f t="shared" si="43"/>
        <v>OGW</v>
      </c>
      <c r="AG103" s="43" t="str">
        <f t="shared" si="42"/>
        <v>OGW</v>
      </c>
      <c r="AH103" s="33" t="e">
        <f t="shared" si="44"/>
        <v>#DIV/0!</v>
      </c>
      <c r="AI103" s="35" t="e">
        <f t="shared" si="62"/>
        <v>#DIV/0!</v>
      </c>
      <c r="AJ103" s="35" t="e">
        <f t="shared" si="62"/>
        <v>#DIV/0!</v>
      </c>
      <c r="AK103" s="35" t="e">
        <f t="shared" si="62"/>
        <v>#DIV/0!</v>
      </c>
      <c r="AL103" s="35" t="e">
        <f t="shared" si="62"/>
        <v>#DIV/0!</v>
      </c>
      <c r="AM103" s="35" t="e">
        <f t="shared" si="62"/>
        <v>#DIV/0!</v>
      </c>
      <c r="AN103" s="35" t="e">
        <f t="shared" si="62"/>
        <v>#DIV/0!</v>
      </c>
      <c r="AO103" s="35" t="e">
        <f t="shared" si="62"/>
        <v>#DIV/0!</v>
      </c>
      <c r="AP103" s="33"/>
      <c r="AQ103" s="43">
        <f t="shared" si="60"/>
        <v>0</v>
      </c>
      <c r="AR103" s="43">
        <f t="shared" si="61"/>
        <v>0</v>
      </c>
      <c r="BB103" s="24">
        <v>96</v>
      </c>
      <c r="BC103" s="42">
        <f t="shared" si="48"/>
        <v>0</v>
      </c>
      <c r="BD103" s="26">
        <f t="shared" si="45"/>
        <v>-1.0000000000000001E-5</v>
      </c>
      <c r="BE103" s="27">
        <f t="shared" si="49"/>
        <v>-5.0000000000000004E-6</v>
      </c>
      <c r="BF103" s="28">
        <f t="shared" si="50"/>
        <v>-1.0000000000000001E-5</v>
      </c>
      <c r="BG103" s="29">
        <f t="shared" si="51"/>
        <v>0</v>
      </c>
      <c r="BH103" s="30" t="e">
        <f t="shared" si="46"/>
        <v>#DIV/0!</v>
      </c>
      <c r="BI103" s="31">
        <f t="shared" si="54"/>
        <v>0</v>
      </c>
      <c r="BJ103" s="30" t="e">
        <f t="shared" si="47"/>
        <v>#DIV/0!</v>
      </c>
      <c r="BK103" s="32" t="e">
        <f t="shared" si="52"/>
        <v>#DIV/0!</v>
      </c>
      <c r="BM103" s="33" t="e">
        <f t="shared" si="53"/>
        <v>#DIV/0!</v>
      </c>
    </row>
    <row r="104" spans="3:65" x14ac:dyDescent="0.3">
      <c r="C104" s="174" t="str">
        <f t="shared" si="28"/>
        <v/>
      </c>
      <c r="AD104" s="33">
        <v>100</v>
      </c>
      <c r="AE104" s="33">
        <f t="shared" si="59"/>
        <v>0</v>
      </c>
      <c r="AF104" s="33" t="str">
        <f t="shared" si="43"/>
        <v>OGW</v>
      </c>
      <c r="AG104" s="43" t="str">
        <f t="shared" si="42"/>
        <v>OGW</v>
      </c>
      <c r="AH104" s="33" t="e">
        <f t="shared" si="44"/>
        <v>#DIV/0!</v>
      </c>
      <c r="AI104" s="35" t="e">
        <f t="shared" si="62"/>
        <v>#DIV/0!</v>
      </c>
      <c r="AJ104" s="35" t="e">
        <f t="shared" si="62"/>
        <v>#DIV/0!</v>
      </c>
      <c r="AK104" s="35" t="e">
        <f t="shared" si="62"/>
        <v>#DIV/0!</v>
      </c>
      <c r="AL104" s="35" t="e">
        <f t="shared" si="62"/>
        <v>#DIV/0!</v>
      </c>
      <c r="AM104" s="35" t="e">
        <f t="shared" si="62"/>
        <v>#DIV/0!</v>
      </c>
      <c r="AN104" s="35" t="e">
        <f t="shared" si="62"/>
        <v>#DIV/0!</v>
      </c>
      <c r="AO104" s="35" t="e">
        <f t="shared" si="62"/>
        <v>#DIV/0!</v>
      </c>
      <c r="AP104" s="33"/>
      <c r="AQ104" s="43">
        <f t="shared" si="60"/>
        <v>0</v>
      </c>
      <c r="AR104" s="43">
        <f t="shared" si="61"/>
        <v>0</v>
      </c>
      <c r="BB104" s="24">
        <v>97</v>
      </c>
      <c r="BC104" s="42">
        <f t="shared" si="48"/>
        <v>0</v>
      </c>
      <c r="BD104" s="26">
        <f t="shared" si="45"/>
        <v>-1.0000000000000001E-5</v>
      </c>
      <c r="BE104" s="27">
        <f t="shared" si="49"/>
        <v>-5.0000000000000004E-6</v>
      </c>
      <c r="BF104" s="28">
        <f t="shared" si="50"/>
        <v>-1.0000000000000001E-5</v>
      </c>
      <c r="BG104" s="29">
        <f t="shared" si="51"/>
        <v>0</v>
      </c>
      <c r="BH104" s="30" t="e">
        <f t="shared" si="46"/>
        <v>#DIV/0!</v>
      </c>
      <c r="BI104" s="31">
        <f t="shared" si="54"/>
        <v>0</v>
      </c>
      <c r="BJ104" s="30" t="e">
        <f>BI104/$P$21</f>
        <v>#DIV/0!</v>
      </c>
      <c r="BK104" s="32" t="e">
        <f t="shared" si="52"/>
        <v>#DIV/0!</v>
      </c>
      <c r="BM104" s="33" t="e">
        <f t="shared" si="53"/>
        <v>#DIV/0!</v>
      </c>
    </row>
    <row r="105" spans="3:65" x14ac:dyDescent="0.3">
      <c r="C105" s="174" t="str">
        <f>IF(I5="","",I5)</f>
        <v/>
      </c>
      <c r="AD105" s="33">
        <v>101</v>
      </c>
      <c r="AE105" s="33">
        <f t="shared" si="59"/>
        <v>0</v>
      </c>
      <c r="AF105" s="33" t="str">
        <f t="shared" si="43"/>
        <v>OGW</v>
      </c>
      <c r="AG105" s="43" t="str">
        <f t="shared" si="42"/>
        <v>OGW</v>
      </c>
      <c r="AH105" s="33" t="e">
        <f t="shared" si="44"/>
        <v>#DIV/0!</v>
      </c>
      <c r="AI105" s="35" t="e">
        <f t="shared" si="62"/>
        <v>#DIV/0!</v>
      </c>
      <c r="AJ105" s="35" t="e">
        <f t="shared" si="62"/>
        <v>#DIV/0!</v>
      </c>
      <c r="AK105" s="35" t="e">
        <f t="shared" si="62"/>
        <v>#DIV/0!</v>
      </c>
      <c r="AL105" s="35" t="e">
        <f t="shared" si="62"/>
        <v>#DIV/0!</v>
      </c>
      <c r="AM105" s="35" t="e">
        <f t="shared" si="62"/>
        <v>#DIV/0!</v>
      </c>
      <c r="AN105" s="35" t="e">
        <f t="shared" si="62"/>
        <v>#DIV/0!</v>
      </c>
      <c r="AO105" s="35" t="e">
        <f t="shared" si="62"/>
        <v>#DIV/0!</v>
      </c>
      <c r="AP105" s="33"/>
      <c r="AQ105" s="43">
        <f t="shared" si="60"/>
        <v>0</v>
      </c>
      <c r="AR105" s="43">
        <f t="shared" si="61"/>
        <v>0</v>
      </c>
      <c r="BB105" s="24">
        <v>98</v>
      </c>
      <c r="BC105" s="42">
        <f t="shared" si="48"/>
        <v>0</v>
      </c>
      <c r="BD105" s="26">
        <f t="shared" si="45"/>
        <v>-1.0000000000000001E-5</v>
      </c>
      <c r="BE105" s="27">
        <f t="shared" si="49"/>
        <v>-5.0000000000000004E-6</v>
      </c>
      <c r="BF105" s="28">
        <f t="shared" si="50"/>
        <v>-1.0000000000000001E-5</v>
      </c>
      <c r="BG105" s="29">
        <f t="shared" si="51"/>
        <v>0</v>
      </c>
      <c r="BH105" s="30" t="e">
        <f t="shared" si="46"/>
        <v>#DIV/0!</v>
      </c>
      <c r="BI105" s="31">
        <f t="shared" si="54"/>
        <v>0</v>
      </c>
      <c r="BJ105" s="30" t="e">
        <f>BI105/$P$21</f>
        <v>#DIV/0!</v>
      </c>
      <c r="BK105" s="32" t="e">
        <f t="shared" si="52"/>
        <v>#DIV/0!</v>
      </c>
      <c r="BM105" s="33" t="e">
        <f t="shared" si="53"/>
        <v>#DIV/0!</v>
      </c>
    </row>
    <row r="106" spans="3:65" x14ac:dyDescent="0.3">
      <c r="C106" s="174" t="str">
        <f t="shared" ref="C106:C154" si="63">IF(I6="","",I6)</f>
        <v/>
      </c>
      <c r="AD106" s="33">
        <v>102</v>
      </c>
      <c r="AE106" s="33">
        <f t="shared" si="59"/>
        <v>0</v>
      </c>
      <c r="AF106" s="33" t="str">
        <f t="shared" si="43"/>
        <v>OGW</v>
      </c>
      <c r="AG106" s="43" t="str">
        <f t="shared" si="42"/>
        <v>OGW</v>
      </c>
      <c r="AH106" s="33" t="e">
        <f t="shared" si="44"/>
        <v>#DIV/0!</v>
      </c>
      <c r="AI106" s="35" t="e">
        <f t="shared" si="62"/>
        <v>#DIV/0!</v>
      </c>
      <c r="AJ106" s="35" t="e">
        <f t="shared" si="62"/>
        <v>#DIV/0!</v>
      </c>
      <c r="AK106" s="35" t="e">
        <f t="shared" si="62"/>
        <v>#DIV/0!</v>
      </c>
      <c r="AL106" s="35" t="e">
        <f t="shared" si="62"/>
        <v>#DIV/0!</v>
      </c>
      <c r="AM106" s="35" t="e">
        <f t="shared" si="62"/>
        <v>#DIV/0!</v>
      </c>
      <c r="AN106" s="35" t="e">
        <f t="shared" si="62"/>
        <v>#DIV/0!</v>
      </c>
      <c r="AO106" s="35" t="e">
        <f t="shared" si="62"/>
        <v>#DIV/0!</v>
      </c>
      <c r="AP106" s="33"/>
      <c r="AQ106" s="43">
        <f t="shared" si="60"/>
        <v>0</v>
      </c>
      <c r="AR106" s="43">
        <f t="shared" si="61"/>
        <v>0</v>
      </c>
      <c r="BB106" s="24">
        <v>99</v>
      </c>
      <c r="BC106" s="42">
        <f t="shared" si="48"/>
        <v>0</v>
      </c>
      <c r="BD106" s="26">
        <f t="shared" si="45"/>
        <v>-1.0000000000000001E-5</v>
      </c>
      <c r="BE106" s="27">
        <f t="shared" si="49"/>
        <v>-5.0000000000000004E-6</v>
      </c>
      <c r="BF106" s="28">
        <f t="shared" si="50"/>
        <v>-1.0000000000000001E-5</v>
      </c>
      <c r="BG106" s="29">
        <f t="shared" si="51"/>
        <v>0</v>
      </c>
      <c r="BH106" s="30" t="e">
        <f t="shared" si="46"/>
        <v>#DIV/0!</v>
      </c>
      <c r="BI106" s="31">
        <f t="shared" si="54"/>
        <v>0</v>
      </c>
      <c r="BJ106" s="30" t="e">
        <f>BI106/$P$21</f>
        <v>#DIV/0!</v>
      </c>
      <c r="BK106" s="32" t="e">
        <f t="shared" si="52"/>
        <v>#DIV/0!</v>
      </c>
      <c r="BM106" s="33" t="e">
        <f t="shared" si="53"/>
        <v>#DIV/0!</v>
      </c>
    </row>
    <row r="107" spans="3:65" x14ac:dyDescent="0.3">
      <c r="C107" s="174" t="str">
        <f t="shared" si="63"/>
        <v/>
      </c>
      <c r="AD107" s="33">
        <v>103</v>
      </c>
      <c r="AE107" s="33">
        <f t="shared" si="59"/>
        <v>0</v>
      </c>
      <c r="AF107" s="33" t="str">
        <f t="shared" si="43"/>
        <v>OGW</v>
      </c>
      <c r="AG107" s="43" t="str">
        <f t="shared" si="42"/>
        <v>OGW</v>
      </c>
      <c r="AH107" s="33" t="e">
        <f t="shared" si="44"/>
        <v>#DIV/0!</v>
      </c>
      <c r="AI107" s="35" t="e">
        <f t="shared" si="62"/>
        <v>#DIV/0!</v>
      </c>
      <c r="AJ107" s="35" t="e">
        <f t="shared" si="62"/>
        <v>#DIV/0!</v>
      </c>
      <c r="AK107" s="35" t="e">
        <f t="shared" si="62"/>
        <v>#DIV/0!</v>
      </c>
      <c r="AL107" s="35" t="e">
        <f t="shared" si="62"/>
        <v>#DIV/0!</v>
      </c>
      <c r="AM107" s="35" t="e">
        <f t="shared" si="62"/>
        <v>#DIV/0!</v>
      </c>
      <c r="AN107" s="35" t="e">
        <f t="shared" si="62"/>
        <v>#DIV/0!</v>
      </c>
      <c r="AO107" s="35" t="e">
        <f t="shared" si="62"/>
        <v>#DIV/0!</v>
      </c>
      <c r="AP107" s="33"/>
      <c r="AQ107" s="43">
        <f t="shared" si="60"/>
        <v>0</v>
      </c>
      <c r="AR107" s="43">
        <f t="shared" si="61"/>
        <v>0</v>
      </c>
      <c r="BB107" s="24">
        <v>100</v>
      </c>
      <c r="BC107" s="42">
        <f t="shared" si="48"/>
        <v>0</v>
      </c>
      <c r="BD107" s="26">
        <f>P34</f>
        <v>0</v>
      </c>
      <c r="BE107" s="27">
        <f t="shared" si="49"/>
        <v>0</v>
      </c>
      <c r="BF107" s="28">
        <f t="shared" si="50"/>
        <v>0</v>
      </c>
      <c r="BG107" s="29">
        <f t="shared" si="51"/>
        <v>0</v>
      </c>
      <c r="BH107" s="30" t="e">
        <f t="shared" si="46"/>
        <v>#DIV/0!</v>
      </c>
      <c r="BI107" s="31">
        <f t="shared" si="54"/>
        <v>0</v>
      </c>
      <c r="BJ107" s="30" t="e">
        <f>BI107/$P$21</f>
        <v>#DIV/0!</v>
      </c>
      <c r="BK107" s="32" t="e">
        <f t="shared" si="52"/>
        <v>#DIV/0!</v>
      </c>
    </row>
    <row r="108" spans="3:65" x14ac:dyDescent="0.3">
      <c r="C108" s="174" t="str">
        <f t="shared" si="63"/>
        <v/>
      </c>
      <c r="AD108" s="33">
        <v>104</v>
      </c>
      <c r="AE108" s="33">
        <f t="shared" si="59"/>
        <v>0</v>
      </c>
      <c r="AF108" s="33" t="str">
        <f t="shared" si="43"/>
        <v>OGW</v>
      </c>
      <c r="AG108" s="43" t="str">
        <f t="shared" si="42"/>
        <v>OGW</v>
      </c>
      <c r="AH108" s="33" t="e">
        <f t="shared" si="44"/>
        <v>#DIV/0!</v>
      </c>
      <c r="AI108" s="35" t="e">
        <f t="shared" si="62"/>
        <v>#DIV/0!</v>
      </c>
      <c r="AJ108" s="35" t="e">
        <f t="shared" si="62"/>
        <v>#DIV/0!</v>
      </c>
      <c r="AK108" s="35" t="e">
        <f t="shared" si="62"/>
        <v>#DIV/0!</v>
      </c>
      <c r="AL108" s="35" t="e">
        <f t="shared" si="62"/>
        <v>#DIV/0!</v>
      </c>
      <c r="AM108" s="35" t="e">
        <f t="shared" si="62"/>
        <v>#DIV/0!</v>
      </c>
      <c r="AN108" s="35" t="e">
        <f t="shared" si="62"/>
        <v>#DIV/0!</v>
      </c>
      <c r="AO108" s="35" t="e">
        <f t="shared" si="62"/>
        <v>#DIV/0!</v>
      </c>
      <c r="AP108" s="33"/>
      <c r="AQ108" s="43">
        <f t="shared" si="60"/>
        <v>0</v>
      </c>
      <c r="AR108" s="43">
        <f t="shared" si="61"/>
        <v>0</v>
      </c>
      <c r="BB108" s="5"/>
      <c r="BC108" s="14"/>
      <c r="BD108" s="6"/>
      <c r="BE108" s="7"/>
      <c r="BF108" s="8"/>
      <c r="BG108" s="9"/>
      <c r="BH108" s="10"/>
      <c r="BI108" s="11"/>
      <c r="BJ108" s="10"/>
      <c r="BK108" s="12"/>
    </row>
    <row r="109" spans="3:65" x14ac:dyDescent="0.3">
      <c r="C109" s="174" t="str">
        <f t="shared" si="63"/>
        <v/>
      </c>
      <c r="AD109" s="33">
        <v>105</v>
      </c>
      <c r="AE109" s="33">
        <f t="shared" si="59"/>
        <v>0</v>
      </c>
      <c r="AF109" s="33" t="str">
        <f t="shared" si="43"/>
        <v>OGW</v>
      </c>
      <c r="AG109" s="43" t="str">
        <f t="shared" si="42"/>
        <v>OGW</v>
      </c>
      <c r="AH109" s="33" t="e">
        <f t="shared" si="44"/>
        <v>#DIV/0!</v>
      </c>
      <c r="AI109" s="35" t="e">
        <f t="shared" si="62"/>
        <v>#DIV/0!</v>
      </c>
      <c r="AJ109" s="35" t="e">
        <f t="shared" si="62"/>
        <v>#DIV/0!</v>
      </c>
      <c r="AK109" s="35" t="e">
        <f t="shared" si="62"/>
        <v>#DIV/0!</v>
      </c>
      <c r="AL109" s="35" t="e">
        <f t="shared" si="62"/>
        <v>#DIV/0!</v>
      </c>
      <c r="AM109" s="35" t="e">
        <f t="shared" si="62"/>
        <v>#DIV/0!</v>
      </c>
      <c r="AN109" s="35" t="e">
        <f t="shared" si="62"/>
        <v>#DIV/0!</v>
      </c>
      <c r="AO109" s="35" t="e">
        <f t="shared" si="62"/>
        <v>#DIV/0!</v>
      </c>
      <c r="AP109" s="33"/>
      <c r="AQ109" s="43">
        <f t="shared" si="60"/>
        <v>0</v>
      </c>
      <c r="AR109" s="43">
        <f t="shared" si="61"/>
        <v>0</v>
      </c>
      <c r="BB109" s="5"/>
      <c r="BC109" s="14"/>
      <c r="BD109" s="6"/>
      <c r="BE109" s="7"/>
      <c r="BF109" s="8"/>
      <c r="BG109" s="9"/>
      <c r="BH109" s="10"/>
      <c r="BI109" s="11"/>
      <c r="BJ109" s="10"/>
      <c r="BK109" s="12"/>
    </row>
    <row r="110" spans="3:65" x14ac:dyDescent="0.3">
      <c r="C110" s="174" t="str">
        <f t="shared" si="63"/>
        <v/>
      </c>
      <c r="AD110" s="33">
        <v>106</v>
      </c>
      <c r="AE110" s="33">
        <f t="shared" si="59"/>
        <v>0</v>
      </c>
      <c r="AF110" s="33" t="str">
        <f t="shared" si="43"/>
        <v>OGW</v>
      </c>
      <c r="AG110" s="43" t="str">
        <f t="shared" si="42"/>
        <v>OGW</v>
      </c>
      <c r="AH110" s="33" t="e">
        <f t="shared" si="44"/>
        <v>#DIV/0!</v>
      </c>
      <c r="AI110" s="35" t="e">
        <f t="shared" si="62"/>
        <v>#DIV/0!</v>
      </c>
      <c r="AJ110" s="35" t="e">
        <f t="shared" si="62"/>
        <v>#DIV/0!</v>
      </c>
      <c r="AK110" s="35" t="e">
        <f t="shared" si="62"/>
        <v>#DIV/0!</v>
      </c>
      <c r="AL110" s="35" t="e">
        <f t="shared" si="62"/>
        <v>#DIV/0!</v>
      </c>
      <c r="AM110" s="35" t="e">
        <f t="shared" si="62"/>
        <v>#DIV/0!</v>
      </c>
      <c r="AN110" s="35" t="e">
        <f t="shared" si="62"/>
        <v>#DIV/0!</v>
      </c>
      <c r="AO110" s="35" t="e">
        <f t="shared" si="62"/>
        <v>#DIV/0!</v>
      </c>
      <c r="AP110" s="33"/>
      <c r="AQ110" s="43">
        <f t="shared" si="60"/>
        <v>0</v>
      </c>
      <c r="AR110" s="43">
        <f t="shared" si="61"/>
        <v>0</v>
      </c>
      <c r="BB110" s="5"/>
      <c r="BC110" s="14"/>
      <c r="BD110" s="6"/>
      <c r="BE110" s="7"/>
      <c r="BF110" s="8"/>
      <c r="BG110" s="9"/>
      <c r="BH110" s="10"/>
      <c r="BI110" s="11"/>
      <c r="BJ110" s="10"/>
      <c r="BK110" s="12"/>
    </row>
    <row r="111" spans="3:65" x14ac:dyDescent="0.3">
      <c r="C111" s="174" t="str">
        <f t="shared" si="63"/>
        <v/>
      </c>
      <c r="AD111" s="33">
        <v>107</v>
      </c>
      <c r="AE111" s="33">
        <f t="shared" si="59"/>
        <v>0</v>
      </c>
      <c r="AF111" s="33" t="str">
        <f t="shared" si="43"/>
        <v>OGW</v>
      </c>
      <c r="AG111" s="43" t="str">
        <f t="shared" si="42"/>
        <v>OGW</v>
      </c>
      <c r="AH111" s="33" t="e">
        <f t="shared" si="44"/>
        <v>#DIV/0!</v>
      </c>
      <c r="AI111" s="35" t="e">
        <f t="shared" si="62"/>
        <v>#DIV/0!</v>
      </c>
      <c r="AJ111" s="35" t="e">
        <f t="shared" si="62"/>
        <v>#DIV/0!</v>
      </c>
      <c r="AK111" s="35" t="e">
        <f t="shared" si="62"/>
        <v>#DIV/0!</v>
      </c>
      <c r="AL111" s="35" t="e">
        <f t="shared" si="62"/>
        <v>#DIV/0!</v>
      </c>
      <c r="AM111" s="35" t="e">
        <f t="shared" si="62"/>
        <v>#DIV/0!</v>
      </c>
      <c r="AN111" s="35" t="e">
        <f t="shared" si="62"/>
        <v>#DIV/0!</v>
      </c>
      <c r="AO111" s="35" t="e">
        <f t="shared" si="62"/>
        <v>#DIV/0!</v>
      </c>
      <c r="AP111" s="33"/>
      <c r="AQ111" s="43">
        <f t="shared" si="60"/>
        <v>0</v>
      </c>
      <c r="AR111" s="43">
        <f t="shared" si="61"/>
        <v>0</v>
      </c>
      <c r="BB111" s="5"/>
      <c r="BC111" s="14"/>
      <c r="BD111" s="6"/>
      <c r="BE111" s="7"/>
      <c r="BF111" s="8"/>
      <c r="BG111" s="9"/>
      <c r="BH111" s="10"/>
      <c r="BI111" s="11"/>
      <c r="BJ111" s="10"/>
      <c r="BK111" s="12"/>
    </row>
    <row r="112" spans="3:65" x14ac:dyDescent="0.3">
      <c r="C112" s="174" t="str">
        <f t="shared" si="63"/>
        <v/>
      </c>
      <c r="AD112" s="33">
        <v>108</v>
      </c>
      <c r="AE112" s="33">
        <f t="shared" si="59"/>
        <v>0</v>
      </c>
      <c r="AF112" s="33" t="str">
        <f t="shared" si="43"/>
        <v>OGW</v>
      </c>
      <c r="AG112" s="43" t="str">
        <f t="shared" si="42"/>
        <v>OGW</v>
      </c>
      <c r="AH112" s="33" t="e">
        <f t="shared" si="44"/>
        <v>#DIV/0!</v>
      </c>
      <c r="AI112" s="35" t="e">
        <f t="shared" si="62"/>
        <v>#DIV/0!</v>
      </c>
      <c r="AJ112" s="35" t="e">
        <f t="shared" si="62"/>
        <v>#DIV/0!</v>
      </c>
      <c r="AK112" s="35" t="e">
        <f t="shared" si="62"/>
        <v>#DIV/0!</v>
      </c>
      <c r="AL112" s="35" t="e">
        <f t="shared" si="62"/>
        <v>#DIV/0!</v>
      </c>
      <c r="AM112" s="35" t="e">
        <f t="shared" si="62"/>
        <v>#DIV/0!</v>
      </c>
      <c r="AN112" s="35" t="e">
        <f t="shared" si="62"/>
        <v>#DIV/0!</v>
      </c>
      <c r="AO112" s="35" t="e">
        <f t="shared" si="62"/>
        <v>#DIV/0!</v>
      </c>
      <c r="AP112" s="33"/>
      <c r="AQ112" s="43">
        <f t="shared" si="60"/>
        <v>0</v>
      </c>
      <c r="AR112" s="43">
        <f t="shared" si="61"/>
        <v>0</v>
      </c>
      <c r="BB112" s="5"/>
    </row>
    <row r="113" spans="3:54" x14ac:dyDescent="0.3">
      <c r="C113" s="174" t="str">
        <f t="shared" si="63"/>
        <v/>
      </c>
      <c r="AD113" s="33">
        <v>109</v>
      </c>
      <c r="AE113" s="33">
        <f t="shared" si="59"/>
        <v>0</v>
      </c>
      <c r="AF113" s="33" t="str">
        <f t="shared" si="43"/>
        <v>OGW</v>
      </c>
      <c r="AG113" s="43" t="str">
        <f t="shared" si="42"/>
        <v>OGW</v>
      </c>
      <c r="AH113" s="33" t="e">
        <f t="shared" si="44"/>
        <v>#DIV/0!</v>
      </c>
      <c r="AI113" s="35" t="e">
        <f t="shared" si="62"/>
        <v>#DIV/0!</v>
      </c>
      <c r="AJ113" s="35" t="e">
        <f t="shared" si="62"/>
        <v>#DIV/0!</v>
      </c>
      <c r="AK113" s="35" t="e">
        <f t="shared" si="62"/>
        <v>#DIV/0!</v>
      </c>
      <c r="AL113" s="35" t="e">
        <f t="shared" si="62"/>
        <v>#DIV/0!</v>
      </c>
      <c r="AM113" s="35" t="e">
        <f t="shared" si="62"/>
        <v>#DIV/0!</v>
      </c>
      <c r="AN113" s="35" t="e">
        <f t="shared" si="62"/>
        <v>#DIV/0!</v>
      </c>
      <c r="AO113" s="35" t="e">
        <f t="shared" si="62"/>
        <v>#DIV/0!</v>
      </c>
      <c r="AP113" s="33"/>
      <c r="AQ113" s="43">
        <f t="shared" si="60"/>
        <v>0</v>
      </c>
      <c r="AR113" s="43">
        <f t="shared" si="61"/>
        <v>0</v>
      </c>
      <c r="BB113" s="5"/>
    </row>
    <row r="114" spans="3:54" x14ac:dyDescent="0.3">
      <c r="C114" s="174" t="str">
        <f t="shared" si="63"/>
        <v/>
      </c>
      <c r="AD114" s="33">
        <v>110</v>
      </c>
      <c r="AE114" s="33">
        <f t="shared" si="59"/>
        <v>0</v>
      </c>
      <c r="AF114" s="33" t="str">
        <f t="shared" si="43"/>
        <v>OGW</v>
      </c>
      <c r="AG114" s="43" t="str">
        <f t="shared" si="42"/>
        <v>OGW</v>
      </c>
      <c r="AH114" s="33" t="e">
        <f t="shared" si="44"/>
        <v>#DIV/0!</v>
      </c>
      <c r="AI114" s="35" t="e">
        <f t="shared" si="62"/>
        <v>#DIV/0!</v>
      </c>
      <c r="AJ114" s="35" t="e">
        <f t="shared" si="62"/>
        <v>#DIV/0!</v>
      </c>
      <c r="AK114" s="35" t="e">
        <f t="shared" si="62"/>
        <v>#DIV/0!</v>
      </c>
      <c r="AL114" s="35" t="e">
        <f t="shared" si="62"/>
        <v>#DIV/0!</v>
      </c>
      <c r="AM114" s="35" t="e">
        <f t="shared" si="62"/>
        <v>#DIV/0!</v>
      </c>
      <c r="AN114" s="35" t="e">
        <f t="shared" si="62"/>
        <v>#DIV/0!</v>
      </c>
      <c r="AO114" s="35" t="e">
        <f t="shared" si="62"/>
        <v>#DIV/0!</v>
      </c>
      <c r="AP114" s="33"/>
      <c r="AQ114" s="43">
        <f t="shared" si="60"/>
        <v>0</v>
      </c>
      <c r="AR114" s="43">
        <f t="shared" si="61"/>
        <v>0</v>
      </c>
      <c r="BB114" s="5"/>
    </row>
    <row r="115" spans="3:54" x14ac:dyDescent="0.3">
      <c r="C115" s="174" t="str">
        <f t="shared" si="63"/>
        <v/>
      </c>
      <c r="AD115" s="33">
        <v>111</v>
      </c>
      <c r="AE115" s="33">
        <f t="shared" si="59"/>
        <v>0</v>
      </c>
      <c r="AF115" s="33" t="str">
        <f t="shared" si="43"/>
        <v>OGW</v>
      </c>
      <c r="AG115" s="43" t="str">
        <f t="shared" si="42"/>
        <v>OGW</v>
      </c>
      <c r="AH115" s="33" t="e">
        <f t="shared" si="44"/>
        <v>#DIV/0!</v>
      </c>
      <c r="AI115" s="35" t="e">
        <f t="shared" si="62"/>
        <v>#DIV/0!</v>
      </c>
      <c r="AJ115" s="35" t="e">
        <f t="shared" si="62"/>
        <v>#DIV/0!</v>
      </c>
      <c r="AK115" s="35" t="e">
        <f t="shared" si="62"/>
        <v>#DIV/0!</v>
      </c>
      <c r="AL115" s="35" t="e">
        <f t="shared" si="62"/>
        <v>#DIV/0!</v>
      </c>
      <c r="AM115" s="35" t="e">
        <f t="shared" si="62"/>
        <v>#DIV/0!</v>
      </c>
      <c r="AN115" s="35" t="e">
        <f t="shared" si="62"/>
        <v>#DIV/0!</v>
      </c>
      <c r="AO115" s="35" t="e">
        <f t="shared" si="62"/>
        <v>#DIV/0!</v>
      </c>
      <c r="AP115" s="33"/>
      <c r="AQ115" s="43">
        <f t="shared" si="60"/>
        <v>0</v>
      </c>
      <c r="AR115" s="43">
        <f t="shared" si="61"/>
        <v>0</v>
      </c>
      <c r="BB115" s="5"/>
    </row>
    <row r="116" spans="3:54" x14ac:dyDescent="0.3">
      <c r="C116" s="174" t="str">
        <f t="shared" si="63"/>
        <v/>
      </c>
      <c r="AD116" s="33">
        <v>112</v>
      </c>
      <c r="AE116" s="33">
        <f t="shared" si="59"/>
        <v>0</v>
      </c>
      <c r="AF116" s="33" t="str">
        <f t="shared" si="43"/>
        <v>OGW</v>
      </c>
      <c r="AG116" s="43" t="str">
        <f t="shared" si="42"/>
        <v>OGW</v>
      </c>
      <c r="AH116" s="33" t="e">
        <f t="shared" si="44"/>
        <v>#DIV/0!</v>
      </c>
      <c r="AI116" s="35" t="e">
        <f t="shared" si="62"/>
        <v>#DIV/0!</v>
      </c>
      <c r="AJ116" s="35" t="e">
        <f t="shared" si="62"/>
        <v>#DIV/0!</v>
      </c>
      <c r="AK116" s="35" t="e">
        <f t="shared" si="62"/>
        <v>#DIV/0!</v>
      </c>
      <c r="AL116" s="35" t="e">
        <f t="shared" si="62"/>
        <v>#DIV/0!</v>
      </c>
      <c r="AM116" s="35" t="e">
        <f t="shared" si="62"/>
        <v>#DIV/0!</v>
      </c>
      <c r="AN116" s="35" t="e">
        <f t="shared" si="62"/>
        <v>#DIV/0!</v>
      </c>
      <c r="AO116" s="35" t="e">
        <f t="shared" si="62"/>
        <v>#DIV/0!</v>
      </c>
      <c r="AP116" s="33"/>
      <c r="AQ116" s="43">
        <f t="shared" si="60"/>
        <v>0</v>
      </c>
      <c r="AR116" s="43">
        <f t="shared" si="61"/>
        <v>0</v>
      </c>
      <c r="BB116" s="5"/>
    </row>
    <row r="117" spans="3:54" x14ac:dyDescent="0.3">
      <c r="C117" s="174" t="str">
        <f t="shared" si="63"/>
        <v/>
      </c>
      <c r="AD117" s="33">
        <v>113</v>
      </c>
      <c r="AE117" s="33">
        <f t="shared" si="59"/>
        <v>0</v>
      </c>
      <c r="AF117" s="33" t="str">
        <f t="shared" si="43"/>
        <v>OGW</v>
      </c>
      <c r="AG117" s="43" t="str">
        <f t="shared" si="42"/>
        <v>OGW</v>
      </c>
      <c r="AH117" s="33" t="e">
        <f t="shared" si="44"/>
        <v>#DIV/0!</v>
      </c>
      <c r="AI117" s="35" t="e">
        <f t="shared" si="62"/>
        <v>#DIV/0!</v>
      </c>
      <c r="AJ117" s="35" t="e">
        <f t="shared" si="62"/>
        <v>#DIV/0!</v>
      </c>
      <c r="AK117" s="35" t="e">
        <f t="shared" si="62"/>
        <v>#DIV/0!</v>
      </c>
      <c r="AL117" s="35" t="e">
        <f t="shared" si="62"/>
        <v>#DIV/0!</v>
      </c>
      <c r="AM117" s="35" t="e">
        <f t="shared" si="62"/>
        <v>#DIV/0!</v>
      </c>
      <c r="AN117" s="35" t="e">
        <f t="shared" si="62"/>
        <v>#DIV/0!</v>
      </c>
      <c r="AO117" s="35" t="e">
        <f t="shared" si="62"/>
        <v>#DIV/0!</v>
      </c>
      <c r="AP117" s="33"/>
      <c r="AQ117" s="43">
        <f t="shared" si="60"/>
        <v>0</v>
      </c>
      <c r="AR117" s="43">
        <f t="shared" si="61"/>
        <v>0</v>
      </c>
      <c r="BB117" s="5"/>
    </row>
    <row r="118" spans="3:54" x14ac:dyDescent="0.3">
      <c r="C118" s="174" t="str">
        <f t="shared" si="63"/>
        <v/>
      </c>
      <c r="AD118" s="33">
        <v>114</v>
      </c>
      <c r="AE118" s="33">
        <f t="shared" si="59"/>
        <v>0</v>
      </c>
      <c r="AF118" s="33" t="str">
        <f t="shared" si="43"/>
        <v>OGW</v>
      </c>
      <c r="AG118" s="43" t="str">
        <f t="shared" si="42"/>
        <v>OGW</v>
      </c>
      <c r="AH118" s="33" t="e">
        <f t="shared" si="44"/>
        <v>#DIV/0!</v>
      </c>
      <c r="AI118" s="35" t="e">
        <f t="shared" ref="AI118:AO133" si="64">AI117</f>
        <v>#DIV/0!</v>
      </c>
      <c r="AJ118" s="35" t="e">
        <f t="shared" si="64"/>
        <v>#DIV/0!</v>
      </c>
      <c r="AK118" s="35" t="e">
        <f t="shared" si="64"/>
        <v>#DIV/0!</v>
      </c>
      <c r="AL118" s="35" t="e">
        <f t="shared" si="64"/>
        <v>#DIV/0!</v>
      </c>
      <c r="AM118" s="35" t="e">
        <f t="shared" si="64"/>
        <v>#DIV/0!</v>
      </c>
      <c r="AN118" s="35" t="e">
        <f t="shared" si="64"/>
        <v>#DIV/0!</v>
      </c>
      <c r="AO118" s="35" t="e">
        <f t="shared" si="64"/>
        <v>#DIV/0!</v>
      </c>
      <c r="AP118" s="33"/>
      <c r="AQ118" s="43">
        <f t="shared" si="60"/>
        <v>0</v>
      </c>
      <c r="AR118" s="43">
        <f t="shared" si="61"/>
        <v>0</v>
      </c>
      <c r="BB118" s="5"/>
    </row>
    <row r="119" spans="3:54" x14ac:dyDescent="0.3">
      <c r="C119" s="174" t="str">
        <f t="shared" si="63"/>
        <v/>
      </c>
      <c r="AD119" s="33">
        <v>115</v>
      </c>
      <c r="AE119" s="33">
        <f t="shared" si="59"/>
        <v>0</v>
      </c>
      <c r="AF119" s="33" t="str">
        <f t="shared" si="43"/>
        <v>OGW</v>
      </c>
      <c r="AG119" s="43" t="str">
        <f t="shared" si="42"/>
        <v>OGW</v>
      </c>
      <c r="AH119" s="33" t="e">
        <f t="shared" si="44"/>
        <v>#DIV/0!</v>
      </c>
      <c r="AI119" s="35" t="e">
        <f t="shared" si="64"/>
        <v>#DIV/0!</v>
      </c>
      <c r="AJ119" s="35" t="e">
        <f t="shared" si="64"/>
        <v>#DIV/0!</v>
      </c>
      <c r="AK119" s="35" t="e">
        <f t="shared" si="64"/>
        <v>#DIV/0!</v>
      </c>
      <c r="AL119" s="35" t="e">
        <f t="shared" si="64"/>
        <v>#DIV/0!</v>
      </c>
      <c r="AM119" s="35" t="e">
        <f t="shared" si="64"/>
        <v>#DIV/0!</v>
      </c>
      <c r="AN119" s="35" t="e">
        <f t="shared" si="64"/>
        <v>#DIV/0!</v>
      </c>
      <c r="AO119" s="35" t="e">
        <f t="shared" si="64"/>
        <v>#DIV/0!</v>
      </c>
      <c r="AP119" s="33"/>
      <c r="AQ119" s="43">
        <f t="shared" si="60"/>
        <v>0</v>
      </c>
      <c r="AR119" s="43">
        <f t="shared" si="61"/>
        <v>0</v>
      </c>
      <c r="BB119" s="5"/>
    </row>
    <row r="120" spans="3:54" x14ac:dyDescent="0.3">
      <c r="C120" s="174" t="str">
        <f t="shared" si="63"/>
        <v/>
      </c>
      <c r="AD120" s="33">
        <v>116</v>
      </c>
      <c r="AE120" s="33">
        <f t="shared" si="59"/>
        <v>0</v>
      </c>
      <c r="AF120" s="33" t="str">
        <f t="shared" si="43"/>
        <v>OGW</v>
      </c>
      <c r="AG120" s="43" t="str">
        <f t="shared" si="42"/>
        <v>OGW</v>
      </c>
      <c r="AH120" s="33" t="e">
        <f t="shared" si="44"/>
        <v>#DIV/0!</v>
      </c>
      <c r="AI120" s="35" t="e">
        <f t="shared" si="64"/>
        <v>#DIV/0!</v>
      </c>
      <c r="AJ120" s="35" t="e">
        <f t="shared" si="64"/>
        <v>#DIV/0!</v>
      </c>
      <c r="AK120" s="35" t="e">
        <f t="shared" si="64"/>
        <v>#DIV/0!</v>
      </c>
      <c r="AL120" s="35" t="e">
        <f t="shared" si="64"/>
        <v>#DIV/0!</v>
      </c>
      <c r="AM120" s="35" t="e">
        <f t="shared" si="64"/>
        <v>#DIV/0!</v>
      </c>
      <c r="AN120" s="35" t="e">
        <f t="shared" si="64"/>
        <v>#DIV/0!</v>
      </c>
      <c r="AO120" s="35" t="e">
        <f t="shared" si="64"/>
        <v>#DIV/0!</v>
      </c>
      <c r="AP120" s="33"/>
      <c r="AQ120" s="43">
        <f t="shared" si="60"/>
        <v>0</v>
      </c>
      <c r="AR120" s="43">
        <f t="shared" si="61"/>
        <v>0</v>
      </c>
      <c r="BB120" s="5"/>
    </row>
    <row r="121" spans="3:54" x14ac:dyDescent="0.3">
      <c r="C121" s="174" t="str">
        <f t="shared" si="63"/>
        <v/>
      </c>
      <c r="AD121" s="33">
        <v>117</v>
      </c>
      <c r="AE121" s="33">
        <f t="shared" si="59"/>
        <v>0</v>
      </c>
      <c r="AF121" s="33" t="str">
        <f t="shared" si="43"/>
        <v>OGW</v>
      </c>
      <c r="AG121" s="43" t="str">
        <f t="shared" si="42"/>
        <v>OGW</v>
      </c>
      <c r="AH121" s="33" t="e">
        <f t="shared" si="44"/>
        <v>#DIV/0!</v>
      </c>
      <c r="AI121" s="35" t="e">
        <f t="shared" si="64"/>
        <v>#DIV/0!</v>
      </c>
      <c r="AJ121" s="35" t="e">
        <f t="shared" si="64"/>
        <v>#DIV/0!</v>
      </c>
      <c r="AK121" s="35" t="e">
        <f t="shared" si="64"/>
        <v>#DIV/0!</v>
      </c>
      <c r="AL121" s="35" t="e">
        <f t="shared" si="64"/>
        <v>#DIV/0!</v>
      </c>
      <c r="AM121" s="35" t="e">
        <f t="shared" si="64"/>
        <v>#DIV/0!</v>
      </c>
      <c r="AN121" s="35" t="e">
        <f t="shared" si="64"/>
        <v>#DIV/0!</v>
      </c>
      <c r="AO121" s="35" t="e">
        <f t="shared" si="64"/>
        <v>#DIV/0!</v>
      </c>
      <c r="AP121" s="33"/>
      <c r="AQ121" s="43">
        <f t="shared" si="60"/>
        <v>0</v>
      </c>
      <c r="AR121" s="43">
        <f t="shared" si="61"/>
        <v>0</v>
      </c>
      <c r="BB121" s="5"/>
    </row>
    <row r="122" spans="3:54" x14ac:dyDescent="0.3">
      <c r="C122" s="174" t="str">
        <f t="shared" si="63"/>
        <v/>
      </c>
      <c r="AD122" s="33">
        <v>118</v>
      </c>
      <c r="AE122" s="33">
        <f t="shared" si="59"/>
        <v>0</v>
      </c>
      <c r="AF122" s="33" t="str">
        <f t="shared" si="43"/>
        <v>OGW</v>
      </c>
      <c r="AG122" s="43" t="str">
        <f t="shared" si="42"/>
        <v>OGW</v>
      </c>
      <c r="AH122" s="33" t="e">
        <f t="shared" si="44"/>
        <v>#DIV/0!</v>
      </c>
      <c r="AI122" s="35" t="e">
        <f t="shared" si="64"/>
        <v>#DIV/0!</v>
      </c>
      <c r="AJ122" s="35" t="e">
        <f t="shared" si="64"/>
        <v>#DIV/0!</v>
      </c>
      <c r="AK122" s="35" t="e">
        <f t="shared" si="64"/>
        <v>#DIV/0!</v>
      </c>
      <c r="AL122" s="35" t="e">
        <f t="shared" si="64"/>
        <v>#DIV/0!</v>
      </c>
      <c r="AM122" s="35" t="e">
        <f t="shared" si="64"/>
        <v>#DIV/0!</v>
      </c>
      <c r="AN122" s="35" t="e">
        <f t="shared" si="64"/>
        <v>#DIV/0!</v>
      </c>
      <c r="AO122" s="35" t="e">
        <f t="shared" si="64"/>
        <v>#DIV/0!</v>
      </c>
      <c r="AP122" s="33"/>
      <c r="AQ122" s="43">
        <f t="shared" si="60"/>
        <v>0</v>
      </c>
      <c r="AR122" s="43">
        <f t="shared" si="61"/>
        <v>0</v>
      </c>
      <c r="BB122" s="5"/>
    </row>
    <row r="123" spans="3:54" x14ac:dyDescent="0.3">
      <c r="C123" s="174" t="str">
        <f t="shared" si="63"/>
        <v/>
      </c>
      <c r="AD123" s="33">
        <v>119</v>
      </c>
      <c r="AE123" s="33">
        <f t="shared" si="59"/>
        <v>0</v>
      </c>
      <c r="AF123" s="33" t="str">
        <f t="shared" si="43"/>
        <v>OGW</v>
      </c>
      <c r="AG123" s="43" t="str">
        <f t="shared" si="42"/>
        <v>OGW</v>
      </c>
      <c r="AH123" s="33" t="e">
        <f t="shared" si="44"/>
        <v>#DIV/0!</v>
      </c>
      <c r="AI123" s="35" t="e">
        <f t="shared" si="64"/>
        <v>#DIV/0!</v>
      </c>
      <c r="AJ123" s="35" t="e">
        <f t="shared" si="64"/>
        <v>#DIV/0!</v>
      </c>
      <c r="AK123" s="35" t="e">
        <f t="shared" si="64"/>
        <v>#DIV/0!</v>
      </c>
      <c r="AL123" s="35" t="e">
        <f t="shared" si="64"/>
        <v>#DIV/0!</v>
      </c>
      <c r="AM123" s="35" t="e">
        <f t="shared" si="64"/>
        <v>#DIV/0!</v>
      </c>
      <c r="AN123" s="35" t="e">
        <f t="shared" si="64"/>
        <v>#DIV/0!</v>
      </c>
      <c r="AO123" s="35" t="e">
        <f t="shared" si="64"/>
        <v>#DIV/0!</v>
      </c>
      <c r="AP123" s="33"/>
      <c r="AQ123" s="43">
        <f t="shared" si="60"/>
        <v>0</v>
      </c>
      <c r="AR123" s="43">
        <f t="shared" si="61"/>
        <v>0</v>
      </c>
      <c r="BB123" s="5"/>
    </row>
    <row r="124" spans="3:54" x14ac:dyDescent="0.3">
      <c r="C124" s="174" t="str">
        <f t="shared" si="63"/>
        <v/>
      </c>
      <c r="AD124" s="33">
        <v>120</v>
      </c>
      <c r="AE124" s="33">
        <f t="shared" si="59"/>
        <v>0</v>
      </c>
      <c r="AF124" s="33" t="str">
        <f t="shared" si="43"/>
        <v>OGW</v>
      </c>
      <c r="AG124" s="43" t="str">
        <f t="shared" si="42"/>
        <v>OGW</v>
      </c>
      <c r="AH124" s="33" t="e">
        <f t="shared" si="44"/>
        <v>#DIV/0!</v>
      </c>
      <c r="AI124" s="35" t="e">
        <f t="shared" si="64"/>
        <v>#DIV/0!</v>
      </c>
      <c r="AJ124" s="35" t="e">
        <f t="shared" si="64"/>
        <v>#DIV/0!</v>
      </c>
      <c r="AK124" s="35" t="e">
        <f t="shared" si="64"/>
        <v>#DIV/0!</v>
      </c>
      <c r="AL124" s="35" t="e">
        <f t="shared" si="64"/>
        <v>#DIV/0!</v>
      </c>
      <c r="AM124" s="35" t="e">
        <f t="shared" si="64"/>
        <v>#DIV/0!</v>
      </c>
      <c r="AN124" s="35" t="e">
        <f t="shared" si="64"/>
        <v>#DIV/0!</v>
      </c>
      <c r="AO124" s="35" t="e">
        <f t="shared" si="64"/>
        <v>#DIV/0!</v>
      </c>
      <c r="AP124" s="33"/>
      <c r="AQ124" s="43">
        <f t="shared" si="60"/>
        <v>0</v>
      </c>
      <c r="AR124" s="43">
        <f t="shared" si="61"/>
        <v>0</v>
      </c>
      <c r="BB124" s="5"/>
    </row>
    <row r="125" spans="3:54" x14ac:dyDescent="0.3">
      <c r="C125" s="174" t="str">
        <f t="shared" si="63"/>
        <v/>
      </c>
      <c r="AD125" s="33">
        <v>121</v>
      </c>
      <c r="AE125" s="33">
        <f t="shared" si="59"/>
        <v>0</v>
      </c>
      <c r="AF125" s="33" t="str">
        <f t="shared" si="43"/>
        <v>OGW</v>
      </c>
      <c r="AG125" s="43" t="str">
        <f t="shared" si="42"/>
        <v>OGW</v>
      </c>
      <c r="AH125" s="33" t="e">
        <f t="shared" si="44"/>
        <v>#DIV/0!</v>
      </c>
      <c r="AI125" s="35" t="e">
        <f t="shared" si="64"/>
        <v>#DIV/0!</v>
      </c>
      <c r="AJ125" s="35" t="e">
        <f t="shared" si="64"/>
        <v>#DIV/0!</v>
      </c>
      <c r="AK125" s="35" t="e">
        <f t="shared" si="64"/>
        <v>#DIV/0!</v>
      </c>
      <c r="AL125" s="35" t="e">
        <f t="shared" si="64"/>
        <v>#DIV/0!</v>
      </c>
      <c r="AM125" s="35" t="e">
        <f t="shared" si="64"/>
        <v>#DIV/0!</v>
      </c>
      <c r="AN125" s="35" t="e">
        <f t="shared" si="64"/>
        <v>#DIV/0!</v>
      </c>
      <c r="AO125" s="35" t="e">
        <f t="shared" si="64"/>
        <v>#DIV/0!</v>
      </c>
      <c r="AP125" s="33"/>
      <c r="AQ125" s="43">
        <f t="shared" si="60"/>
        <v>0</v>
      </c>
      <c r="AR125" s="43">
        <f t="shared" si="61"/>
        <v>0</v>
      </c>
      <c r="BB125" s="5"/>
    </row>
    <row r="126" spans="3:54" x14ac:dyDescent="0.3">
      <c r="C126" s="174" t="str">
        <f t="shared" si="63"/>
        <v/>
      </c>
      <c r="AD126" s="33">
        <v>122</v>
      </c>
      <c r="AE126" s="33">
        <f t="shared" si="59"/>
        <v>0</v>
      </c>
      <c r="AF126" s="33" t="str">
        <f t="shared" si="43"/>
        <v>OGW</v>
      </c>
      <c r="AG126" s="43" t="str">
        <f t="shared" si="42"/>
        <v>OGW</v>
      </c>
      <c r="AH126" s="33" t="e">
        <f t="shared" si="44"/>
        <v>#DIV/0!</v>
      </c>
      <c r="AI126" s="35" t="e">
        <f t="shared" si="64"/>
        <v>#DIV/0!</v>
      </c>
      <c r="AJ126" s="35" t="e">
        <f t="shared" si="64"/>
        <v>#DIV/0!</v>
      </c>
      <c r="AK126" s="35" t="e">
        <f t="shared" si="64"/>
        <v>#DIV/0!</v>
      </c>
      <c r="AL126" s="35" t="e">
        <f t="shared" si="64"/>
        <v>#DIV/0!</v>
      </c>
      <c r="AM126" s="35" t="e">
        <f t="shared" si="64"/>
        <v>#DIV/0!</v>
      </c>
      <c r="AN126" s="35" t="e">
        <f t="shared" si="64"/>
        <v>#DIV/0!</v>
      </c>
      <c r="AO126" s="35" t="e">
        <f t="shared" si="64"/>
        <v>#DIV/0!</v>
      </c>
      <c r="AP126" s="33"/>
      <c r="AQ126" s="43">
        <f t="shared" si="60"/>
        <v>0</v>
      </c>
      <c r="AR126" s="43">
        <f t="shared" si="61"/>
        <v>0</v>
      </c>
      <c r="BB126" s="5"/>
    </row>
    <row r="127" spans="3:54" x14ac:dyDescent="0.3">
      <c r="C127" s="174" t="str">
        <f t="shared" si="63"/>
        <v/>
      </c>
      <c r="AD127" s="33">
        <v>123</v>
      </c>
      <c r="AE127" s="33">
        <f t="shared" si="59"/>
        <v>0</v>
      </c>
      <c r="AF127" s="33" t="str">
        <f t="shared" si="43"/>
        <v>OGW</v>
      </c>
      <c r="AG127" s="43" t="str">
        <f t="shared" si="42"/>
        <v>OGW</v>
      </c>
      <c r="AH127" s="33" t="e">
        <f t="shared" si="44"/>
        <v>#DIV/0!</v>
      </c>
      <c r="AI127" s="35" t="e">
        <f t="shared" si="64"/>
        <v>#DIV/0!</v>
      </c>
      <c r="AJ127" s="35" t="e">
        <f t="shared" si="64"/>
        <v>#DIV/0!</v>
      </c>
      <c r="AK127" s="35" t="e">
        <f t="shared" si="64"/>
        <v>#DIV/0!</v>
      </c>
      <c r="AL127" s="35" t="e">
        <f t="shared" si="64"/>
        <v>#DIV/0!</v>
      </c>
      <c r="AM127" s="35" t="e">
        <f t="shared" si="64"/>
        <v>#DIV/0!</v>
      </c>
      <c r="AN127" s="35" t="e">
        <f t="shared" si="64"/>
        <v>#DIV/0!</v>
      </c>
      <c r="AO127" s="35" t="e">
        <f t="shared" si="64"/>
        <v>#DIV/0!</v>
      </c>
      <c r="AP127" s="33"/>
      <c r="AQ127" s="43">
        <f t="shared" si="60"/>
        <v>0</v>
      </c>
      <c r="AR127" s="43">
        <f t="shared" si="61"/>
        <v>0</v>
      </c>
      <c r="BB127" s="5"/>
    </row>
    <row r="128" spans="3:54" x14ac:dyDescent="0.3">
      <c r="C128" s="174" t="str">
        <f t="shared" si="63"/>
        <v/>
      </c>
      <c r="AD128" s="33">
        <v>124</v>
      </c>
      <c r="AE128" s="33">
        <f t="shared" si="59"/>
        <v>0</v>
      </c>
      <c r="AF128" s="33" t="str">
        <f t="shared" si="43"/>
        <v>OGW</v>
      </c>
      <c r="AG128" s="43" t="str">
        <f t="shared" si="42"/>
        <v>OGW</v>
      </c>
      <c r="AH128" s="33" t="e">
        <f t="shared" si="44"/>
        <v>#DIV/0!</v>
      </c>
      <c r="AI128" s="35" t="e">
        <f t="shared" si="64"/>
        <v>#DIV/0!</v>
      </c>
      <c r="AJ128" s="35" t="e">
        <f t="shared" si="64"/>
        <v>#DIV/0!</v>
      </c>
      <c r="AK128" s="35" t="e">
        <f t="shared" si="64"/>
        <v>#DIV/0!</v>
      </c>
      <c r="AL128" s="35" t="e">
        <f t="shared" si="64"/>
        <v>#DIV/0!</v>
      </c>
      <c r="AM128" s="35" t="e">
        <f t="shared" si="64"/>
        <v>#DIV/0!</v>
      </c>
      <c r="AN128" s="35" t="e">
        <f t="shared" si="64"/>
        <v>#DIV/0!</v>
      </c>
      <c r="AO128" s="35" t="e">
        <f t="shared" si="64"/>
        <v>#DIV/0!</v>
      </c>
      <c r="AP128" s="33"/>
      <c r="AQ128" s="43">
        <f t="shared" si="60"/>
        <v>0</v>
      </c>
      <c r="AR128" s="43">
        <f t="shared" si="61"/>
        <v>0</v>
      </c>
      <c r="BB128" s="5"/>
    </row>
    <row r="129" spans="3:44" x14ac:dyDescent="0.3">
      <c r="C129" s="174" t="str">
        <f t="shared" si="63"/>
        <v/>
      </c>
      <c r="AD129" s="33">
        <v>125</v>
      </c>
      <c r="AE129" s="33">
        <f t="shared" si="59"/>
        <v>0</v>
      </c>
      <c r="AF129" s="33" t="str">
        <f t="shared" si="43"/>
        <v>OGW</v>
      </c>
      <c r="AG129" s="43" t="str">
        <f t="shared" si="42"/>
        <v>OGW</v>
      </c>
      <c r="AH129" s="33" t="e">
        <f t="shared" si="44"/>
        <v>#DIV/0!</v>
      </c>
      <c r="AI129" s="35" t="e">
        <f t="shared" si="64"/>
        <v>#DIV/0!</v>
      </c>
      <c r="AJ129" s="35" t="e">
        <f t="shared" si="64"/>
        <v>#DIV/0!</v>
      </c>
      <c r="AK129" s="35" t="e">
        <f t="shared" si="64"/>
        <v>#DIV/0!</v>
      </c>
      <c r="AL129" s="35" t="e">
        <f t="shared" si="64"/>
        <v>#DIV/0!</v>
      </c>
      <c r="AM129" s="35" t="e">
        <f t="shared" si="64"/>
        <v>#DIV/0!</v>
      </c>
      <c r="AN129" s="35" t="e">
        <f t="shared" si="64"/>
        <v>#DIV/0!</v>
      </c>
      <c r="AO129" s="35" t="e">
        <f t="shared" si="64"/>
        <v>#DIV/0!</v>
      </c>
      <c r="AP129" s="33"/>
      <c r="AQ129" s="43">
        <f t="shared" si="60"/>
        <v>0</v>
      </c>
      <c r="AR129" s="43">
        <f t="shared" si="61"/>
        <v>0</v>
      </c>
    </row>
    <row r="130" spans="3:44" x14ac:dyDescent="0.3">
      <c r="C130" s="174" t="str">
        <f t="shared" si="63"/>
        <v/>
      </c>
      <c r="AD130" s="33">
        <v>126</v>
      </c>
      <c r="AE130" s="33">
        <f t="shared" si="59"/>
        <v>0</v>
      </c>
      <c r="AF130" s="33" t="str">
        <f t="shared" si="43"/>
        <v>OGW</v>
      </c>
      <c r="AG130" s="43" t="str">
        <f t="shared" si="42"/>
        <v>OGW</v>
      </c>
      <c r="AH130" s="33" t="e">
        <f t="shared" si="44"/>
        <v>#DIV/0!</v>
      </c>
      <c r="AI130" s="35" t="e">
        <f t="shared" si="64"/>
        <v>#DIV/0!</v>
      </c>
      <c r="AJ130" s="35" t="e">
        <f t="shared" si="64"/>
        <v>#DIV/0!</v>
      </c>
      <c r="AK130" s="35" t="e">
        <f t="shared" si="64"/>
        <v>#DIV/0!</v>
      </c>
      <c r="AL130" s="35" t="e">
        <f t="shared" si="64"/>
        <v>#DIV/0!</v>
      </c>
      <c r="AM130" s="35" t="e">
        <f t="shared" si="64"/>
        <v>#DIV/0!</v>
      </c>
      <c r="AN130" s="35" t="e">
        <f t="shared" si="64"/>
        <v>#DIV/0!</v>
      </c>
      <c r="AO130" s="35" t="e">
        <f t="shared" si="64"/>
        <v>#DIV/0!</v>
      </c>
      <c r="AP130" s="33"/>
      <c r="AQ130" s="43">
        <f t="shared" si="60"/>
        <v>0</v>
      </c>
      <c r="AR130" s="43">
        <f t="shared" si="61"/>
        <v>0</v>
      </c>
    </row>
    <row r="131" spans="3:44" x14ac:dyDescent="0.3">
      <c r="C131" s="174" t="str">
        <f t="shared" si="63"/>
        <v/>
      </c>
      <c r="AD131" s="33">
        <v>127</v>
      </c>
      <c r="AE131" s="33">
        <f t="shared" si="59"/>
        <v>0</v>
      </c>
      <c r="AF131" s="33" t="str">
        <f t="shared" si="43"/>
        <v>OGW</v>
      </c>
      <c r="AG131" s="43" t="str">
        <f t="shared" si="42"/>
        <v>OGW</v>
      </c>
      <c r="AH131" s="33" t="e">
        <f t="shared" si="44"/>
        <v>#DIV/0!</v>
      </c>
      <c r="AI131" s="35" t="e">
        <f t="shared" si="64"/>
        <v>#DIV/0!</v>
      </c>
      <c r="AJ131" s="35" t="e">
        <f t="shared" si="64"/>
        <v>#DIV/0!</v>
      </c>
      <c r="AK131" s="35" t="e">
        <f t="shared" si="64"/>
        <v>#DIV/0!</v>
      </c>
      <c r="AL131" s="35" t="e">
        <f t="shared" si="64"/>
        <v>#DIV/0!</v>
      </c>
      <c r="AM131" s="35" t="e">
        <f t="shared" si="64"/>
        <v>#DIV/0!</v>
      </c>
      <c r="AN131" s="35" t="e">
        <f t="shared" si="64"/>
        <v>#DIV/0!</v>
      </c>
      <c r="AO131" s="35" t="e">
        <f t="shared" si="64"/>
        <v>#DIV/0!</v>
      </c>
      <c r="AP131" s="33"/>
      <c r="AQ131" s="43">
        <f t="shared" si="60"/>
        <v>0</v>
      </c>
      <c r="AR131" s="43">
        <f t="shared" si="61"/>
        <v>0</v>
      </c>
    </row>
    <row r="132" spans="3:44" x14ac:dyDescent="0.3">
      <c r="C132" s="174" t="str">
        <f t="shared" si="63"/>
        <v/>
      </c>
      <c r="AD132" s="33">
        <v>128</v>
      </c>
      <c r="AE132" s="33">
        <f t="shared" si="59"/>
        <v>0</v>
      </c>
      <c r="AF132" s="33" t="str">
        <f t="shared" si="43"/>
        <v>OGW</v>
      </c>
      <c r="AG132" s="43" t="str">
        <f t="shared" si="42"/>
        <v>OGW</v>
      </c>
      <c r="AH132" s="33" t="e">
        <f t="shared" si="44"/>
        <v>#DIV/0!</v>
      </c>
      <c r="AI132" s="35" t="e">
        <f t="shared" si="64"/>
        <v>#DIV/0!</v>
      </c>
      <c r="AJ132" s="35" t="e">
        <f t="shared" si="64"/>
        <v>#DIV/0!</v>
      </c>
      <c r="AK132" s="35" t="e">
        <f t="shared" si="64"/>
        <v>#DIV/0!</v>
      </c>
      <c r="AL132" s="35" t="e">
        <f t="shared" si="64"/>
        <v>#DIV/0!</v>
      </c>
      <c r="AM132" s="35" t="e">
        <f t="shared" si="64"/>
        <v>#DIV/0!</v>
      </c>
      <c r="AN132" s="35" t="e">
        <f t="shared" si="64"/>
        <v>#DIV/0!</v>
      </c>
      <c r="AO132" s="35" t="e">
        <f t="shared" si="64"/>
        <v>#DIV/0!</v>
      </c>
      <c r="AP132" s="33"/>
      <c r="AQ132" s="43">
        <f t="shared" si="60"/>
        <v>0</v>
      </c>
      <c r="AR132" s="43">
        <f t="shared" si="61"/>
        <v>0</v>
      </c>
    </row>
    <row r="133" spans="3:44" x14ac:dyDescent="0.3">
      <c r="C133" s="174" t="str">
        <f t="shared" si="63"/>
        <v/>
      </c>
      <c r="AD133" s="33">
        <v>129</v>
      </c>
      <c r="AE133" s="33">
        <f t="shared" ref="AE133:AE164" si="65">IF(($P$21&gt;AD133),AD133,$P$21)</f>
        <v>0</v>
      </c>
      <c r="AF133" s="33" t="str">
        <f t="shared" si="43"/>
        <v>OGW</v>
      </c>
      <c r="AG133" s="43" t="str">
        <f t="shared" si="42"/>
        <v>OGW</v>
      </c>
      <c r="AH133" s="33" t="e">
        <f t="shared" si="44"/>
        <v>#DIV/0!</v>
      </c>
      <c r="AI133" s="35" t="e">
        <f t="shared" si="64"/>
        <v>#DIV/0!</v>
      </c>
      <c r="AJ133" s="35" t="e">
        <f t="shared" si="64"/>
        <v>#DIV/0!</v>
      </c>
      <c r="AK133" s="35" t="e">
        <f t="shared" si="64"/>
        <v>#DIV/0!</v>
      </c>
      <c r="AL133" s="35" t="e">
        <f t="shared" si="64"/>
        <v>#DIV/0!</v>
      </c>
      <c r="AM133" s="35" t="e">
        <f t="shared" si="64"/>
        <v>#DIV/0!</v>
      </c>
      <c r="AN133" s="35" t="e">
        <f t="shared" si="64"/>
        <v>#DIV/0!</v>
      </c>
      <c r="AO133" s="35" t="e">
        <f t="shared" si="64"/>
        <v>#DIV/0!</v>
      </c>
      <c r="AP133" s="33"/>
      <c r="AQ133" s="43">
        <f t="shared" ref="AQ133:AQ164" si="66">IF(AND(C133&lt;&gt;"",C133&lt;UGW),1,0)</f>
        <v>0</v>
      </c>
      <c r="AR133" s="43">
        <f t="shared" ref="AR133:AR164" si="67">IF(AND(C133&lt;&gt;"",C133&gt;OGW),1,0)</f>
        <v>0</v>
      </c>
    </row>
    <row r="134" spans="3:44" x14ac:dyDescent="0.3">
      <c r="C134" s="174" t="str">
        <f t="shared" si="63"/>
        <v/>
      </c>
      <c r="AD134" s="33">
        <v>130</v>
      </c>
      <c r="AE134" s="33">
        <f t="shared" si="65"/>
        <v>0</v>
      </c>
      <c r="AF134" s="33" t="str">
        <f t="shared" si="43"/>
        <v>OGW</v>
      </c>
      <c r="AG134" s="43" t="str">
        <f t="shared" si="42"/>
        <v>OGW</v>
      </c>
      <c r="AH134" s="33" t="e">
        <f t="shared" si="44"/>
        <v>#DIV/0!</v>
      </c>
      <c r="AI134" s="35" t="e">
        <f t="shared" ref="AI134:AO149" si="68">AI133</f>
        <v>#DIV/0!</v>
      </c>
      <c r="AJ134" s="35" t="e">
        <f t="shared" si="68"/>
        <v>#DIV/0!</v>
      </c>
      <c r="AK134" s="35" t="e">
        <f t="shared" si="68"/>
        <v>#DIV/0!</v>
      </c>
      <c r="AL134" s="35" t="e">
        <f t="shared" si="68"/>
        <v>#DIV/0!</v>
      </c>
      <c r="AM134" s="35" t="e">
        <f t="shared" si="68"/>
        <v>#DIV/0!</v>
      </c>
      <c r="AN134" s="35" t="e">
        <f t="shared" si="68"/>
        <v>#DIV/0!</v>
      </c>
      <c r="AO134" s="35" t="e">
        <f t="shared" si="68"/>
        <v>#DIV/0!</v>
      </c>
      <c r="AP134" s="33"/>
      <c r="AQ134" s="43">
        <f t="shared" si="66"/>
        <v>0</v>
      </c>
      <c r="AR134" s="43">
        <f t="shared" si="67"/>
        <v>0</v>
      </c>
    </row>
    <row r="135" spans="3:44" x14ac:dyDescent="0.3">
      <c r="C135" s="174" t="str">
        <f t="shared" si="63"/>
        <v/>
      </c>
      <c r="AD135" s="33">
        <v>131</v>
      </c>
      <c r="AE135" s="33">
        <f t="shared" si="65"/>
        <v>0</v>
      </c>
      <c r="AF135" s="33" t="str">
        <f t="shared" si="43"/>
        <v>OGW</v>
      </c>
      <c r="AG135" s="43" t="str">
        <f t="shared" ref="AG135:AG198" si="69">IF(C135&lt;&gt;"",$P$19,AG134)</f>
        <v>OGW</v>
      </c>
      <c r="AH135" s="33" t="e">
        <f t="shared" si="44"/>
        <v>#DIV/0!</v>
      </c>
      <c r="AI135" s="35" t="e">
        <f t="shared" si="68"/>
        <v>#DIV/0!</v>
      </c>
      <c r="AJ135" s="35" t="e">
        <f t="shared" si="68"/>
        <v>#DIV/0!</v>
      </c>
      <c r="AK135" s="35" t="e">
        <f t="shared" si="68"/>
        <v>#DIV/0!</v>
      </c>
      <c r="AL135" s="35" t="e">
        <f t="shared" si="68"/>
        <v>#DIV/0!</v>
      </c>
      <c r="AM135" s="35" t="e">
        <f t="shared" si="68"/>
        <v>#DIV/0!</v>
      </c>
      <c r="AN135" s="35" t="e">
        <f t="shared" si="68"/>
        <v>#DIV/0!</v>
      </c>
      <c r="AO135" s="35" t="e">
        <f t="shared" si="68"/>
        <v>#DIV/0!</v>
      </c>
      <c r="AP135" s="33"/>
      <c r="AQ135" s="43">
        <f t="shared" si="66"/>
        <v>0</v>
      </c>
      <c r="AR135" s="43">
        <f t="shared" si="67"/>
        <v>0</v>
      </c>
    </row>
    <row r="136" spans="3:44" x14ac:dyDescent="0.3">
      <c r="C136" s="174" t="str">
        <f t="shared" si="63"/>
        <v/>
      </c>
      <c r="AD136" s="33">
        <v>132</v>
      </c>
      <c r="AE136" s="33">
        <f t="shared" si="65"/>
        <v>0</v>
      </c>
      <c r="AF136" s="33" t="str">
        <f t="shared" ref="AF136:AF199" si="70">IF(C136&lt;&gt;"",C136,AF135)</f>
        <v>OGW</v>
      </c>
      <c r="AG136" s="43" t="str">
        <f t="shared" si="69"/>
        <v>OGW</v>
      </c>
      <c r="AH136" s="33" t="e">
        <f t="shared" ref="AH136:AH199" si="71">IF(C136&lt;&gt;"",$P$18,AH135)</f>
        <v>#DIV/0!</v>
      </c>
      <c r="AI136" s="35" t="e">
        <f t="shared" si="68"/>
        <v>#DIV/0!</v>
      </c>
      <c r="AJ136" s="35" t="e">
        <f t="shared" si="68"/>
        <v>#DIV/0!</v>
      </c>
      <c r="AK136" s="35" t="e">
        <f t="shared" si="68"/>
        <v>#DIV/0!</v>
      </c>
      <c r="AL136" s="35" t="e">
        <f t="shared" si="68"/>
        <v>#DIV/0!</v>
      </c>
      <c r="AM136" s="35" t="e">
        <f t="shared" si="68"/>
        <v>#DIV/0!</v>
      </c>
      <c r="AN136" s="35" t="e">
        <f t="shared" si="68"/>
        <v>#DIV/0!</v>
      </c>
      <c r="AO136" s="35" t="e">
        <f t="shared" si="68"/>
        <v>#DIV/0!</v>
      </c>
      <c r="AP136" s="33"/>
      <c r="AQ136" s="43">
        <f t="shared" si="66"/>
        <v>0</v>
      </c>
      <c r="AR136" s="43">
        <f t="shared" si="67"/>
        <v>0</v>
      </c>
    </row>
    <row r="137" spans="3:44" x14ac:dyDescent="0.3">
      <c r="C137" s="174" t="str">
        <f t="shared" si="63"/>
        <v/>
      </c>
      <c r="AD137" s="33">
        <v>133</v>
      </c>
      <c r="AE137" s="33">
        <f t="shared" si="65"/>
        <v>0</v>
      </c>
      <c r="AF137" s="33" t="str">
        <f t="shared" si="70"/>
        <v>OGW</v>
      </c>
      <c r="AG137" s="43" t="str">
        <f t="shared" si="69"/>
        <v>OGW</v>
      </c>
      <c r="AH137" s="33" t="e">
        <f t="shared" si="71"/>
        <v>#DIV/0!</v>
      </c>
      <c r="AI137" s="35" t="e">
        <f t="shared" si="68"/>
        <v>#DIV/0!</v>
      </c>
      <c r="AJ137" s="35" t="e">
        <f t="shared" si="68"/>
        <v>#DIV/0!</v>
      </c>
      <c r="AK137" s="35" t="e">
        <f t="shared" si="68"/>
        <v>#DIV/0!</v>
      </c>
      <c r="AL137" s="35" t="e">
        <f t="shared" si="68"/>
        <v>#DIV/0!</v>
      </c>
      <c r="AM137" s="35" t="e">
        <f t="shared" si="68"/>
        <v>#DIV/0!</v>
      </c>
      <c r="AN137" s="35" t="e">
        <f t="shared" si="68"/>
        <v>#DIV/0!</v>
      </c>
      <c r="AO137" s="35" t="e">
        <f t="shared" si="68"/>
        <v>#DIV/0!</v>
      </c>
      <c r="AP137" s="33"/>
      <c r="AQ137" s="43">
        <f t="shared" si="66"/>
        <v>0</v>
      </c>
      <c r="AR137" s="43">
        <f t="shared" si="67"/>
        <v>0</v>
      </c>
    </row>
    <row r="138" spans="3:44" x14ac:dyDescent="0.3">
      <c r="C138" s="174" t="str">
        <f t="shared" si="63"/>
        <v/>
      </c>
      <c r="AD138" s="33">
        <v>134</v>
      </c>
      <c r="AE138" s="33">
        <f t="shared" si="65"/>
        <v>0</v>
      </c>
      <c r="AF138" s="33" t="str">
        <f t="shared" si="70"/>
        <v>OGW</v>
      </c>
      <c r="AG138" s="43" t="str">
        <f t="shared" si="69"/>
        <v>OGW</v>
      </c>
      <c r="AH138" s="33" t="e">
        <f t="shared" si="71"/>
        <v>#DIV/0!</v>
      </c>
      <c r="AI138" s="35" t="e">
        <f t="shared" si="68"/>
        <v>#DIV/0!</v>
      </c>
      <c r="AJ138" s="35" t="e">
        <f t="shared" si="68"/>
        <v>#DIV/0!</v>
      </c>
      <c r="AK138" s="35" t="e">
        <f t="shared" si="68"/>
        <v>#DIV/0!</v>
      </c>
      <c r="AL138" s="35" t="e">
        <f t="shared" si="68"/>
        <v>#DIV/0!</v>
      </c>
      <c r="AM138" s="35" t="e">
        <f t="shared" si="68"/>
        <v>#DIV/0!</v>
      </c>
      <c r="AN138" s="35" t="e">
        <f t="shared" si="68"/>
        <v>#DIV/0!</v>
      </c>
      <c r="AO138" s="35" t="e">
        <f t="shared" si="68"/>
        <v>#DIV/0!</v>
      </c>
      <c r="AP138" s="33"/>
      <c r="AQ138" s="43">
        <f t="shared" si="66"/>
        <v>0</v>
      </c>
      <c r="AR138" s="43">
        <f t="shared" si="67"/>
        <v>0</v>
      </c>
    </row>
    <row r="139" spans="3:44" x14ac:dyDescent="0.3">
      <c r="C139" s="174" t="str">
        <f t="shared" si="63"/>
        <v/>
      </c>
      <c r="AD139" s="33">
        <v>135</v>
      </c>
      <c r="AE139" s="33">
        <f t="shared" si="65"/>
        <v>0</v>
      </c>
      <c r="AF139" s="33" t="str">
        <f t="shared" si="70"/>
        <v>OGW</v>
      </c>
      <c r="AG139" s="43" t="str">
        <f t="shared" si="69"/>
        <v>OGW</v>
      </c>
      <c r="AH139" s="33" t="e">
        <f t="shared" si="71"/>
        <v>#DIV/0!</v>
      </c>
      <c r="AI139" s="35" t="e">
        <f t="shared" si="68"/>
        <v>#DIV/0!</v>
      </c>
      <c r="AJ139" s="35" t="e">
        <f t="shared" si="68"/>
        <v>#DIV/0!</v>
      </c>
      <c r="AK139" s="35" t="e">
        <f t="shared" si="68"/>
        <v>#DIV/0!</v>
      </c>
      <c r="AL139" s="35" t="e">
        <f t="shared" si="68"/>
        <v>#DIV/0!</v>
      </c>
      <c r="AM139" s="35" t="e">
        <f t="shared" si="68"/>
        <v>#DIV/0!</v>
      </c>
      <c r="AN139" s="35" t="e">
        <f t="shared" si="68"/>
        <v>#DIV/0!</v>
      </c>
      <c r="AO139" s="35" t="e">
        <f t="shared" si="68"/>
        <v>#DIV/0!</v>
      </c>
      <c r="AP139" s="33"/>
      <c r="AQ139" s="43">
        <f t="shared" si="66"/>
        <v>0</v>
      </c>
      <c r="AR139" s="43">
        <f t="shared" si="67"/>
        <v>0</v>
      </c>
    </row>
    <row r="140" spans="3:44" x14ac:dyDescent="0.3">
      <c r="C140" s="174" t="str">
        <f t="shared" si="63"/>
        <v/>
      </c>
      <c r="AD140" s="33">
        <v>136</v>
      </c>
      <c r="AE140" s="33">
        <f t="shared" si="65"/>
        <v>0</v>
      </c>
      <c r="AF140" s="33" t="str">
        <f t="shared" si="70"/>
        <v>OGW</v>
      </c>
      <c r="AG140" s="43" t="str">
        <f t="shared" si="69"/>
        <v>OGW</v>
      </c>
      <c r="AH140" s="33" t="e">
        <f t="shared" si="71"/>
        <v>#DIV/0!</v>
      </c>
      <c r="AI140" s="35" t="e">
        <f t="shared" si="68"/>
        <v>#DIV/0!</v>
      </c>
      <c r="AJ140" s="35" t="e">
        <f t="shared" si="68"/>
        <v>#DIV/0!</v>
      </c>
      <c r="AK140" s="35" t="e">
        <f t="shared" si="68"/>
        <v>#DIV/0!</v>
      </c>
      <c r="AL140" s="35" t="e">
        <f t="shared" si="68"/>
        <v>#DIV/0!</v>
      </c>
      <c r="AM140" s="35" t="e">
        <f t="shared" si="68"/>
        <v>#DIV/0!</v>
      </c>
      <c r="AN140" s="35" t="e">
        <f t="shared" si="68"/>
        <v>#DIV/0!</v>
      </c>
      <c r="AO140" s="35" t="e">
        <f t="shared" si="68"/>
        <v>#DIV/0!</v>
      </c>
      <c r="AP140" s="33"/>
      <c r="AQ140" s="43">
        <f t="shared" si="66"/>
        <v>0</v>
      </c>
      <c r="AR140" s="43">
        <f t="shared" si="67"/>
        <v>0</v>
      </c>
    </row>
    <row r="141" spans="3:44" x14ac:dyDescent="0.3">
      <c r="C141" s="174" t="str">
        <f t="shared" si="63"/>
        <v/>
      </c>
      <c r="AD141" s="33">
        <v>137</v>
      </c>
      <c r="AE141" s="33">
        <f t="shared" si="65"/>
        <v>0</v>
      </c>
      <c r="AF141" s="33" t="str">
        <f t="shared" si="70"/>
        <v>OGW</v>
      </c>
      <c r="AG141" s="43" t="str">
        <f t="shared" si="69"/>
        <v>OGW</v>
      </c>
      <c r="AH141" s="33" t="e">
        <f t="shared" si="71"/>
        <v>#DIV/0!</v>
      </c>
      <c r="AI141" s="35" t="e">
        <f t="shared" si="68"/>
        <v>#DIV/0!</v>
      </c>
      <c r="AJ141" s="35" t="e">
        <f t="shared" si="68"/>
        <v>#DIV/0!</v>
      </c>
      <c r="AK141" s="35" t="e">
        <f t="shared" si="68"/>
        <v>#DIV/0!</v>
      </c>
      <c r="AL141" s="35" t="e">
        <f t="shared" si="68"/>
        <v>#DIV/0!</v>
      </c>
      <c r="AM141" s="35" t="e">
        <f t="shared" si="68"/>
        <v>#DIV/0!</v>
      </c>
      <c r="AN141" s="35" t="e">
        <f t="shared" si="68"/>
        <v>#DIV/0!</v>
      </c>
      <c r="AO141" s="35" t="e">
        <f t="shared" si="68"/>
        <v>#DIV/0!</v>
      </c>
      <c r="AP141" s="33"/>
      <c r="AQ141" s="43">
        <f t="shared" si="66"/>
        <v>0</v>
      </c>
      <c r="AR141" s="43">
        <f t="shared" si="67"/>
        <v>0</v>
      </c>
    </row>
    <row r="142" spans="3:44" x14ac:dyDescent="0.3">
      <c r="C142" s="174" t="str">
        <f t="shared" si="63"/>
        <v/>
      </c>
      <c r="AD142" s="33">
        <v>138</v>
      </c>
      <c r="AE142" s="33">
        <f t="shared" si="65"/>
        <v>0</v>
      </c>
      <c r="AF142" s="33" t="str">
        <f t="shared" si="70"/>
        <v>OGW</v>
      </c>
      <c r="AG142" s="43" t="str">
        <f t="shared" si="69"/>
        <v>OGW</v>
      </c>
      <c r="AH142" s="33" t="e">
        <f t="shared" si="71"/>
        <v>#DIV/0!</v>
      </c>
      <c r="AI142" s="35" t="e">
        <f t="shared" si="68"/>
        <v>#DIV/0!</v>
      </c>
      <c r="AJ142" s="35" t="e">
        <f t="shared" si="68"/>
        <v>#DIV/0!</v>
      </c>
      <c r="AK142" s="35" t="e">
        <f t="shared" si="68"/>
        <v>#DIV/0!</v>
      </c>
      <c r="AL142" s="35" t="e">
        <f t="shared" si="68"/>
        <v>#DIV/0!</v>
      </c>
      <c r="AM142" s="35" t="e">
        <f t="shared" si="68"/>
        <v>#DIV/0!</v>
      </c>
      <c r="AN142" s="35" t="e">
        <f t="shared" si="68"/>
        <v>#DIV/0!</v>
      </c>
      <c r="AO142" s="35" t="e">
        <f t="shared" si="68"/>
        <v>#DIV/0!</v>
      </c>
      <c r="AP142" s="33"/>
      <c r="AQ142" s="43">
        <f t="shared" si="66"/>
        <v>0</v>
      </c>
      <c r="AR142" s="43">
        <f t="shared" si="67"/>
        <v>0</v>
      </c>
    </row>
    <row r="143" spans="3:44" x14ac:dyDescent="0.3">
      <c r="C143" s="174" t="str">
        <f t="shared" si="63"/>
        <v/>
      </c>
      <c r="AD143" s="33">
        <v>139</v>
      </c>
      <c r="AE143" s="33">
        <f t="shared" si="65"/>
        <v>0</v>
      </c>
      <c r="AF143" s="33" t="str">
        <f t="shared" si="70"/>
        <v>OGW</v>
      </c>
      <c r="AG143" s="43" t="str">
        <f t="shared" si="69"/>
        <v>OGW</v>
      </c>
      <c r="AH143" s="33" t="e">
        <f t="shared" si="71"/>
        <v>#DIV/0!</v>
      </c>
      <c r="AI143" s="35" t="e">
        <f t="shared" si="68"/>
        <v>#DIV/0!</v>
      </c>
      <c r="AJ143" s="35" t="e">
        <f t="shared" si="68"/>
        <v>#DIV/0!</v>
      </c>
      <c r="AK143" s="35" t="e">
        <f t="shared" si="68"/>
        <v>#DIV/0!</v>
      </c>
      <c r="AL143" s="35" t="e">
        <f t="shared" si="68"/>
        <v>#DIV/0!</v>
      </c>
      <c r="AM143" s="35" t="e">
        <f t="shared" si="68"/>
        <v>#DIV/0!</v>
      </c>
      <c r="AN143" s="35" t="e">
        <f t="shared" si="68"/>
        <v>#DIV/0!</v>
      </c>
      <c r="AO143" s="35" t="e">
        <f t="shared" si="68"/>
        <v>#DIV/0!</v>
      </c>
      <c r="AP143" s="33"/>
      <c r="AQ143" s="43">
        <f t="shared" si="66"/>
        <v>0</v>
      </c>
      <c r="AR143" s="43">
        <f t="shared" si="67"/>
        <v>0</v>
      </c>
    </row>
    <row r="144" spans="3:44" x14ac:dyDescent="0.3">
      <c r="C144" s="174" t="str">
        <f t="shared" si="63"/>
        <v/>
      </c>
      <c r="AD144" s="33">
        <v>140</v>
      </c>
      <c r="AE144" s="33">
        <f t="shared" si="65"/>
        <v>0</v>
      </c>
      <c r="AF144" s="33" t="str">
        <f t="shared" si="70"/>
        <v>OGW</v>
      </c>
      <c r="AG144" s="43" t="str">
        <f t="shared" si="69"/>
        <v>OGW</v>
      </c>
      <c r="AH144" s="33" t="e">
        <f t="shared" si="71"/>
        <v>#DIV/0!</v>
      </c>
      <c r="AI144" s="35" t="e">
        <f t="shared" si="68"/>
        <v>#DIV/0!</v>
      </c>
      <c r="AJ144" s="35" t="e">
        <f t="shared" si="68"/>
        <v>#DIV/0!</v>
      </c>
      <c r="AK144" s="35" t="e">
        <f t="shared" si="68"/>
        <v>#DIV/0!</v>
      </c>
      <c r="AL144" s="35" t="e">
        <f t="shared" si="68"/>
        <v>#DIV/0!</v>
      </c>
      <c r="AM144" s="35" t="e">
        <f t="shared" si="68"/>
        <v>#DIV/0!</v>
      </c>
      <c r="AN144" s="35" t="e">
        <f t="shared" si="68"/>
        <v>#DIV/0!</v>
      </c>
      <c r="AO144" s="35" t="e">
        <f t="shared" si="68"/>
        <v>#DIV/0!</v>
      </c>
      <c r="AP144" s="33"/>
      <c r="AQ144" s="43">
        <f t="shared" si="66"/>
        <v>0</v>
      </c>
      <c r="AR144" s="43">
        <f t="shared" si="67"/>
        <v>0</v>
      </c>
    </row>
    <row r="145" spans="3:44" x14ac:dyDescent="0.3">
      <c r="C145" s="174" t="str">
        <f t="shared" si="63"/>
        <v/>
      </c>
      <c r="AD145" s="33">
        <v>141</v>
      </c>
      <c r="AE145" s="33">
        <f t="shared" si="65"/>
        <v>0</v>
      </c>
      <c r="AF145" s="33" t="str">
        <f t="shared" si="70"/>
        <v>OGW</v>
      </c>
      <c r="AG145" s="43" t="str">
        <f t="shared" si="69"/>
        <v>OGW</v>
      </c>
      <c r="AH145" s="33" t="e">
        <f t="shared" si="71"/>
        <v>#DIV/0!</v>
      </c>
      <c r="AI145" s="35" t="e">
        <f t="shared" si="68"/>
        <v>#DIV/0!</v>
      </c>
      <c r="AJ145" s="35" t="e">
        <f t="shared" si="68"/>
        <v>#DIV/0!</v>
      </c>
      <c r="AK145" s="35" t="e">
        <f t="shared" si="68"/>
        <v>#DIV/0!</v>
      </c>
      <c r="AL145" s="35" t="e">
        <f t="shared" si="68"/>
        <v>#DIV/0!</v>
      </c>
      <c r="AM145" s="35" t="e">
        <f t="shared" si="68"/>
        <v>#DIV/0!</v>
      </c>
      <c r="AN145" s="35" t="e">
        <f t="shared" si="68"/>
        <v>#DIV/0!</v>
      </c>
      <c r="AO145" s="35" t="e">
        <f t="shared" si="68"/>
        <v>#DIV/0!</v>
      </c>
      <c r="AP145" s="33"/>
      <c r="AQ145" s="43">
        <f t="shared" si="66"/>
        <v>0</v>
      </c>
      <c r="AR145" s="43">
        <f t="shared" si="67"/>
        <v>0</v>
      </c>
    </row>
    <row r="146" spans="3:44" x14ac:dyDescent="0.3">
      <c r="C146" s="174" t="str">
        <f t="shared" si="63"/>
        <v/>
      </c>
      <c r="AD146" s="33">
        <v>142</v>
      </c>
      <c r="AE146" s="33">
        <f t="shared" si="65"/>
        <v>0</v>
      </c>
      <c r="AF146" s="33" t="str">
        <f t="shared" si="70"/>
        <v>OGW</v>
      </c>
      <c r="AG146" s="43" t="str">
        <f t="shared" si="69"/>
        <v>OGW</v>
      </c>
      <c r="AH146" s="33" t="e">
        <f t="shared" si="71"/>
        <v>#DIV/0!</v>
      </c>
      <c r="AI146" s="35" t="e">
        <f t="shared" si="68"/>
        <v>#DIV/0!</v>
      </c>
      <c r="AJ146" s="35" t="e">
        <f t="shared" si="68"/>
        <v>#DIV/0!</v>
      </c>
      <c r="AK146" s="35" t="e">
        <f t="shared" si="68"/>
        <v>#DIV/0!</v>
      </c>
      <c r="AL146" s="35" t="e">
        <f t="shared" si="68"/>
        <v>#DIV/0!</v>
      </c>
      <c r="AM146" s="35" t="e">
        <f t="shared" si="68"/>
        <v>#DIV/0!</v>
      </c>
      <c r="AN146" s="35" t="e">
        <f t="shared" si="68"/>
        <v>#DIV/0!</v>
      </c>
      <c r="AO146" s="35" t="e">
        <f t="shared" si="68"/>
        <v>#DIV/0!</v>
      </c>
      <c r="AP146" s="33"/>
      <c r="AQ146" s="43">
        <f t="shared" si="66"/>
        <v>0</v>
      </c>
      <c r="AR146" s="43">
        <f t="shared" si="67"/>
        <v>0</v>
      </c>
    </row>
    <row r="147" spans="3:44" x14ac:dyDescent="0.3">
      <c r="C147" s="174" t="str">
        <f t="shared" si="63"/>
        <v/>
      </c>
      <c r="AD147" s="33">
        <v>143</v>
      </c>
      <c r="AE147" s="33">
        <f t="shared" si="65"/>
        <v>0</v>
      </c>
      <c r="AF147" s="33" t="str">
        <f t="shared" si="70"/>
        <v>OGW</v>
      </c>
      <c r="AG147" s="43" t="str">
        <f t="shared" si="69"/>
        <v>OGW</v>
      </c>
      <c r="AH147" s="33" t="e">
        <f t="shared" si="71"/>
        <v>#DIV/0!</v>
      </c>
      <c r="AI147" s="35" t="e">
        <f t="shared" si="68"/>
        <v>#DIV/0!</v>
      </c>
      <c r="AJ147" s="35" t="e">
        <f t="shared" si="68"/>
        <v>#DIV/0!</v>
      </c>
      <c r="AK147" s="35" t="e">
        <f t="shared" si="68"/>
        <v>#DIV/0!</v>
      </c>
      <c r="AL147" s="35" t="e">
        <f t="shared" si="68"/>
        <v>#DIV/0!</v>
      </c>
      <c r="AM147" s="35" t="e">
        <f t="shared" si="68"/>
        <v>#DIV/0!</v>
      </c>
      <c r="AN147" s="35" t="e">
        <f t="shared" si="68"/>
        <v>#DIV/0!</v>
      </c>
      <c r="AO147" s="35" t="e">
        <f t="shared" si="68"/>
        <v>#DIV/0!</v>
      </c>
      <c r="AP147" s="33"/>
      <c r="AQ147" s="43">
        <f t="shared" si="66"/>
        <v>0</v>
      </c>
      <c r="AR147" s="43">
        <f t="shared" si="67"/>
        <v>0</v>
      </c>
    </row>
    <row r="148" spans="3:44" x14ac:dyDescent="0.3">
      <c r="C148" s="174" t="str">
        <f t="shared" si="63"/>
        <v/>
      </c>
      <c r="AD148" s="33">
        <v>144</v>
      </c>
      <c r="AE148" s="33">
        <f t="shared" si="65"/>
        <v>0</v>
      </c>
      <c r="AF148" s="33" t="str">
        <f t="shared" si="70"/>
        <v>OGW</v>
      </c>
      <c r="AG148" s="43" t="str">
        <f t="shared" si="69"/>
        <v>OGW</v>
      </c>
      <c r="AH148" s="33" t="e">
        <f t="shared" si="71"/>
        <v>#DIV/0!</v>
      </c>
      <c r="AI148" s="35" t="e">
        <f t="shared" si="68"/>
        <v>#DIV/0!</v>
      </c>
      <c r="AJ148" s="35" t="e">
        <f t="shared" si="68"/>
        <v>#DIV/0!</v>
      </c>
      <c r="AK148" s="35" t="e">
        <f t="shared" si="68"/>
        <v>#DIV/0!</v>
      </c>
      <c r="AL148" s="35" t="e">
        <f t="shared" si="68"/>
        <v>#DIV/0!</v>
      </c>
      <c r="AM148" s="35" t="e">
        <f t="shared" si="68"/>
        <v>#DIV/0!</v>
      </c>
      <c r="AN148" s="35" t="e">
        <f t="shared" si="68"/>
        <v>#DIV/0!</v>
      </c>
      <c r="AO148" s="35" t="e">
        <f t="shared" si="68"/>
        <v>#DIV/0!</v>
      </c>
      <c r="AP148" s="33"/>
      <c r="AQ148" s="43">
        <f t="shared" si="66"/>
        <v>0</v>
      </c>
      <c r="AR148" s="43">
        <f t="shared" si="67"/>
        <v>0</v>
      </c>
    </row>
    <row r="149" spans="3:44" x14ac:dyDescent="0.3">
      <c r="C149" s="174" t="str">
        <f t="shared" si="63"/>
        <v/>
      </c>
      <c r="AD149" s="33">
        <v>145</v>
      </c>
      <c r="AE149" s="33">
        <f t="shared" si="65"/>
        <v>0</v>
      </c>
      <c r="AF149" s="33" t="str">
        <f t="shared" si="70"/>
        <v>OGW</v>
      </c>
      <c r="AG149" s="43" t="str">
        <f t="shared" si="69"/>
        <v>OGW</v>
      </c>
      <c r="AH149" s="33" t="e">
        <f t="shared" si="71"/>
        <v>#DIV/0!</v>
      </c>
      <c r="AI149" s="35" t="e">
        <f t="shared" si="68"/>
        <v>#DIV/0!</v>
      </c>
      <c r="AJ149" s="35" t="e">
        <f t="shared" si="68"/>
        <v>#DIV/0!</v>
      </c>
      <c r="AK149" s="35" t="e">
        <f t="shared" si="68"/>
        <v>#DIV/0!</v>
      </c>
      <c r="AL149" s="35" t="e">
        <f t="shared" si="68"/>
        <v>#DIV/0!</v>
      </c>
      <c r="AM149" s="35" t="e">
        <f t="shared" si="68"/>
        <v>#DIV/0!</v>
      </c>
      <c r="AN149" s="35" t="e">
        <f t="shared" si="68"/>
        <v>#DIV/0!</v>
      </c>
      <c r="AO149" s="35" t="e">
        <f t="shared" si="68"/>
        <v>#DIV/0!</v>
      </c>
      <c r="AP149" s="33"/>
      <c r="AQ149" s="43">
        <f t="shared" si="66"/>
        <v>0</v>
      </c>
      <c r="AR149" s="43">
        <f t="shared" si="67"/>
        <v>0</v>
      </c>
    </row>
    <row r="150" spans="3:44" x14ac:dyDescent="0.3">
      <c r="C150" s="174" t="str">
        <f t="shared" si="63"/>
        <v/>
      </c>
      <c r="AD150" s="33">
        <v>146</v>
      </c>
      <c r="AE150" s="33">
        <f t="shared" si="65"/>
        <v>0</v>
      </c>
      <c r="AF150" s="33" t="str">
        <f t="shared" si="70"/>
        <v>OGW</v>
      </c>
      <c r="AG150" s="43" t="str">
        <f t="shared" si="69"/>
        <v>OGW</v>
      </c>
      <c r="AH150" s="33" t="e">
        <f t="shared" si="71"/>
        <v>#DIV/0!</v>
      </c>
      <c r="AI150" s="35" t="e">
        <f t="shared" ref="AI150:AO165" si="72">AI149</f>
        <v>#DIV/0!</v>
      </c>
      <c r="AJ150" s="35" t="e">
        <f t="shared" si="72"/>
        <v>#DIV/0!</v>
      </c>
      <c r="AK150" s="35" t="e">
        <f t="shared" si="72"/>
        <v>#DIV/0!</v>
      </c>
      <c r="AL150" s="35" t="e">
        <f t="shared" si="72"/>
        <v>#DIV/0!</v>
      </c>
      <c r="AM150" s="35" t="e">
        <f t="shared" si="72"/>
        <v>#DIV/0!</v>
      </c>
      <c r="AN150" s="35" t="e">
        <f t="shared" si="72"/>
        <v>#DIV/0!</v>
      </c>
      <c r="AO150" s="35" t="e">
        <f t="shared" si="72"/>
        <v>#DIV/0!</v>
      </c>
      <c r="AP150" s="33"/>
      <c r="AQ150" s="43">
        <f t="shared" si="66"/>
        <v>0</v>
      </c>
      <c r="AR150" s="43">
        <f t="shared" si="67"/>
        <v>0</v>
      </c>
    </row>
    <row r="151" spans="3:44" x14ac:dyDescent="0.3">
      <c r="C151" s="174" t="str">
        <f t="shared" si="63"/>
        <v/>
      </c>
      <c r="AD151" s="33">
        <v>147</v>
      </c>
      <c r="AE151" s="33">
        <f t="shared" si="65"/>
        <v>0</v>
      </c>
      <c r="AF151" s="33" t="str">
        <f t="shared" si="70"/>
        <v>OGW</v>
      </c>
      <c r="AG151" s="43" t="str">
        <f t="shared" si="69"/>
        <v>OGW</v>
      </c>
      <c r="AH151" s="33" t="e">
        <f t="shared" si="71"/>
        <v>#DIV/0!</v>
      </c>
      <c r="AI151" s="35" t="e">
        <f t="shared" si="72"/>
        <v>#DIV/0!</v>
      </c>
      <c r="AJ151" s="35" t="e">
        <f t="shared" si="72"/>
        <v>#DIV/0!</v>
      </c>
      <c r="AK151" s="35" t="e">
        <f t="shared" si="72"/>
        <v>#DIV/0!</v>
      </c>
      <c r="AL151" s="35" t="e">
        <f t="shared" si="72"/>
        <v>#DIV/0!</v>
      </c>
      <c r="AM151" s="35" t="e">
        <f t="shared" si="72"/>
        <v>#DIV/0!</v>
      </c>
      <c r="AN151" s="35" t="e">
        <f t="shared" si="72"/>
        <v>#DIV/0!</v>
      </c>
      <c r="AO151" s="35" t="e">
        <f t="shared" si="72"/>
        <v>#DIV/0!</v>
      </c>
      <c r="AP151" s="33"/>
      <c r="AQ151" s="43">
        <f t="shared" si="66"/>
        <v>0</v>
      </c>
      <c r="AR151" s="43">
        <f t="shared" si="67"/>
        <v>0</v>
      </c>
    </row>
    <row r="152" spans="3:44" x14ac:dyDescent="0.3">
      <c r="C152" s="174" t="str">
        <f t="shared" si="63"/>
        <v/>
      </c>
      <c r="AD152" s="33">
        <v>148</v>
      </c>
      <c r="AE152" s="33">
        <f t="shared" si="65"/>
        <v>0</v>
      </c>
      <c r="AF152" s="33" t="str">
        <f t="shared" si="70"/>
        <v>OGW</v>
      </c>
      <c r="AG152" s="43" t="str">
        <f t="shared" si="69"/>
        <v>OGW</v>
      </c>
      <c r="AH152" s="33" t="e">
        <f t="shared" si="71"/>
        <v>#DIV/0!</v>
      </c>
      <c r="AI152" s="35" t="e">
        <f t="shared" si="72"/>
        <v>#DIV/0!</v>
      </c>
      <c r="AJ152" s="35" t="e">
        <f t="shared" si="72"/>
        <v>#DIV/0!</v>
      </c>
      <c r="AK152" s="35" t="e">
        <f t="shared" si="72"/>
        <v>#DIV/0!</v>
      </c>
      <c r="AL152" s="35" t="e">
        <f t="shared" si="72"/>
        <v>#DIV/0!</v>
      </c>
      <c r="AM152" s="35" t="e">
        <f t="shared" si="72"/>
        <v>#DIV/0!</v>
      </c>
      <c r="AN152" s="35" t="e">
        <f t="shared" si="72"/>
        <v>#DIV/0!</v>
      </c>
      <c r="AO152" s="35" t="e">
        <f t="shared" si="72"/>
        <v>#DIV/0!</v>
      </c>
      <c r="AP152" s="33"/>
      <c r="AQ152" s="43">
        <f t="shared" si="66"/>
        <v>0</v>
      </c>
      <c r="AR152" s="43">
        <f t="shared" si="67"/>
        <v>0</v>
      </c>
    </row>
    <row r="153" spans="3:44" x14ac:dyDescent="0.3">
      <c r="C153" s="174" t="str">
        <f t="shared" si="63"/>
        <v/>
      </c>
      <c r="AD153" s="33">
        <v>149</v>
      </c>
      <c r="AE153" s="33">
        <f t="shared" si="65"/>
        <v>0</v>
      </c>
      <c r="AF153" s="33" t="str">
        <f t="shared" si="70"/>
        <v>OGW</v>
      </c>
      <c r="AG153" s="43" t="str">
        <f t="shared" si="69"/>
        <v>OGW</v>
      </c>
      <c r="AH153" s="33" t="e">
        <f t="shared" si="71"/>
        <v>#DIV/0!</v>
      </c>
      <c r="AI153" s="35" t="e">
        <f t="shared" si="72"/>
        <v>#DIV/0!</v>
      </c>
      <c r="AJ153" s="35" t="e">
        <f t="shared" si="72"/>
        <v>#DIV/0!</v>
      </c>
      <c r="AK153" s="35" t="e">
        <f t="shared" si="72"/>
        <v>#DIV/0!</v>
      </c>
      <c r="AL153" s="35" t="e">
        <f t="shared" si="72"/>
        <v>#DIV/0!</v>
      </c>
      <c r="AM153" s="35" t="e">
        <f t="shared" si="72"/>
        <v>#DIV/0!</v>
      </c>
      <c r="AN153" s="35" t="e">
        <f t="shared" si="72"/>
        <v>#DIV/0!</v>
      </c>
      <c r="AO153" s="35" t="e">
        <f t="shared" si="72"/>
        <v>#DIV/0!</v>
      </c>
      <c r="AP153" s="33"/>
      <c r="AQ153" s="43">
        <f t="shared" si="66"/>
        <v>0</v>
      </c>
      <c r="AR153" s="43">
        <f t="shared" si="67"/>
        <v>0</v>
      </c>
    </row>
    <row r="154" spans="3:44" x14ac:dyDescent="0.3">
      <c r="C154" s="174" t="str">
        <f t="shared" si="63"/>
        <v/>
      </c>
      <c r="AD154" s="33">
        <v>150</v>
      </c>
      <c r="AE154" s="33">
        <f t="shared" si="65"/>
        <v>0</v>
      </c>
      <c r="AF154" s="33" t="str">
        <f t="shared" si="70"/>
        <v>OGW</v>
      </c>
      <c r="AG154" s="43" t="str">
        <f t="shared" si="69"/>
        <v>OGW</v>
      </c>
      <c r="AH154" s="33" t="e">
        <f t="shared" si="71"/>
        <v>#DIV/0!</v>
      </c>
      <c r="AI154" s="35" t="e">
        <f t="shared" si="72"/>
        <v>#DIV/0!</v>
      </c>
      <c r="AJ154" s="35" t="e">
        <f t="shared" si="72"/>
        <v>#DIV/0!</v>
      </c>
      <c r="AK154" s="35" t="e">
        <f t="shared" si="72"/>
        <v>#DIV/0!</v>
      </c>
      <c r="AL154" s="35" t="e">
        <f t="shared" si="72"/>
        <v>#DIV/0!</v>
      </c>
      <c r="AM154" s="35" t="e">
        <f t="shared" si="72"/>
        <v>#DIV/0!</v>
      </c>
      <c r="AN154" s="35" t="e">
        <f t="shared" si="72"/>
        <v>#DIV/0!</v>
      </c>
      <c r="AO154" s="35" t="e">
        <f t="shared" si="72"/>
        <v>#DIV/0!</v>
      </c>
      <c r="AP154" s="33"/>
      <c r="AQ154" s="43">
        <f t="shared" si="66"/>
        <v>0</v>
      </c>
      <c r="AR154" s="43">
        <f t="shared" si="67"/>
        <v>0</v>
      </c>
    </row>
    <row r="155" spans="3:44" x14ac:dyDescent="0.3">
      <c r="C155" s="174" t="str">
        <f>IF(L5="","",L5)</f>
        <v/>
      </c>
      <c r="AD155" s="33">
        <v>151</v>
      </c>
      <c r="AE155" s="33">
        <f t="shared" si="65"/>
        <v>0</v>
      </c>
      <c r="AF155" s="33" t="str">
        <f t="shared" si="70"/>
        <v>OGW</v>
      </c>
      <c r="AG155" s="43" t="str">
        <f t="shared" si="69"/>
        <v>OGW</v>
      </c>
      <c r="AH155" s="33" t="e">
        <f t="shared" si="71"/>
        <v>#DIV/0!</v>
      </c>
      <c r="AI155" s="35" t="e">
        <f t="shared" si="72"/>
        <v>#DIV/0!</v>
      </c>
      <c r="AJ155" s="35" t="e">
        <f t="shared" si="72"/>
        <v>#DIV/0!</v>
      </c>
      <c r="AK155" s="35" t="e">
        <f t="shared" si="72"/>
        <v>#DIV/0!</v>
      </c>
      <c r="AL155" s="35" t="e">
        <f t="shared" si="72"/>
        <v>#DIV/0!</v>
      </c>
      <c r="AM155" s="35" t="e">
        <f t="shared" si="72"/>
        <v>#DIV/0!</v>
      </c>
      <c r="AN155" s="35" t="e">
        <f t="shared" si="72"/>
        <v>#DIV/0!</v>
      </c>
      <c r="AO155" s="35" t="e">
        <f t="shared" si="72"/>
        <v>#DIV/0!</v>
      </c>
      <c r="AP155" s="33"/>
      <c r="AQ155" s="43">
        <f t="shared" si="66"/>
        <v>0</v>
      </c>
      <c r="AR155" s="43">
        <f t="shared" si="67"/>
        <v>0</v>
      </c>
    </row>
    <row r="156" spans="3:44" x14ac:dyDescent="0.3">
      <c r="C156" s="174" t="str">
        <f t="shared" ref="C156:C204" si="73">IF(L6="","",L6)</f>
        <v/>
      </c>
      <c r="AD156" s="33">
        <v>152</v>
      </c>
      <c r="AE156" s="33">
        <f t="shared" si="65"/>
        <v>0</v>
      </c>
      <c r="AF156" s="33" t="str">
        <f t="shared" si="70"/>
        <v>OGW</v>
      </c>
      <c r="AG156" s="43" t="str">
        <f t="shared" si="69"/>
        <v>OGW</v>
      </c>
      <c r="AH156" s="33" t="e">
        <f t="shared" si="71"/>
        <v>#DIV/0!</v>
      </c>
      <c r="AI156" s="35" t="e">
        <f t="shared" si="72"/>
        <v>#DIV/0!</v>
      </c>
      <c r="AJ156" s="35" t="e">
        <f t="shared" si="72"/>
        <v>#DIV/0!</v>
      </c>
      <c r="AK156" s="35" t="e">
        <f t="shared" si="72"/>
        <v>#DIV/0!</v>
      </c>
      <c r="AL156" s="35" t="e">
        <f t="shared" si="72"/>
        <v>#DIV/0!</v>
      </c>
      <c r="AM156" s="35" t="e">
        <f t="shared" si="72"/>
        <v>#DIV/0!</v>
      </c>
      <c r="AN156" s="35" t="e">
        <f t="shared" si="72"/>
        <v>#DIV/0!</v>
      </c>
      <c r="AO156" s="35" t="e">
        <f t="shared" si="72"/>
        <v>#DIV/0!</v>
      </c>
      <c r="AP156" s="33"/>
      <c r="AQ156" s="43">
        <f t="shared" si="66"/>
        <v>0</v>
      </c>
      <c r="AR156" s="43">
        <f t="shared" si="67"/>
        <v>0</v>
      </c>
    </row>
    <row r="157" spans="3:44" x14ac:dyDescent="0.3">
      <c r="C157" s="174" t="str">
        <f t="shared" si="73"/>
        <v/>
      </c>
      <c r="AD157" s="33">
        <v>153</v>
      </c>
      <c r="AE157" s="33">
        <f t="shared" si="65"/>
        <v>0</v>
      </c>
      <c r="AF157" s="33" t="str">
        <f t="shared" si="70"/>
        <v>OGW</v>
      </c>
      <c r="AG157" s="43" t="str">
        <f t="shared" si="69"/>
        <v>OGW</v>
      </c>
      <c r="AH157" s="33" t="e">
        <f t="shared" si="71"/>
        <v>#DIV/0!</v>
      </c>
      <c r="AI157" s="35" t="e">
        <f t="shared" si="72"/>
        <v>#DIV/0!</v>
      </c>
      <c r="AJ157" s="35" t="e">
        <f t="shared" si="72"/>
        <v>#DIV/0!</v>
      </c>
      <c r="AK157" s="35" t="e">
        <f t="shared" si="72"/>
        <v>#DIV/0!</v>
      </c>
      <c r="AL157" s="35" t="e">
        <f t="shared" si="72"/>
        <v>#DIV/0!</v>
      </c>
      <c r="AM157" s="35" t="e">
        <f t="shared" si="72"/>
        <v>#DIV/0!</v>
      </c>
      <c r="AN157" s="35" t="e">
        <f t="shared" si="72"/>
        <v>#DIV/0!</v>
      </c>
      <c r="AO157" s="35" t="e">
        <f t="shared" si="72"/>
        <v>#DIV/0!</v>
      </c>
      <c r="AP157" s="33"/>
      <c r="AQ157" s="43">
        <f t="shared" si="66"/>
        <v>0</v>
      </c>
      <c r="AR157" s="43">
        <f t="shared" si="67"/>
        <v>0</v>
      </c>
    </row>
    <row r="158" spans="3:44" x14ac:dyDescent="0.3">
      <c r="C158" s="174" t="str">
        <f t="shared" si="73"/>
        <v/>
      </c>
      <c r="AD158" s="33">
        <v>154</v>
      </c>
      <c r="AE158" s="33">
        <f t="shared" si="65"/>
        <v>0</v>
      </c>
      <c r="AF158" s="33" t="str">
        <f t="shared" si="70"/>
        <v>OGW</v>
      </c>
      <c r="AG158" s="43" t="str">
        <f t="shared" si="69"/>
        <v>OGW</v>
      </c>
      <c r="AH158" s="33" t="e">
        <f t="shared" si="71"/>
        <v>#DIV/0!</v>
      </c>
      <c r="AI158" s="35" t="e">
        <f t="shared" si="72"/>
        <v>#DIV/0!</v>
      </c>
      <c r="AJ158" s="35" t="e">
        <f t="shared" si="72"/>
        <v>#DIV/0!</v>
      </c>
      <c r="AK158" s="35" t="e">
        <f t="shared" si="72"/>
        <v>#DIV/0!</v>
      </c>
      <c r="AL158" s="35" t="e">
        <f t="shared" si="72"/>
        <v>#DIV/0!</v>
      </c>
      <c r="AM158" s="35" t="e">
        <f t="shared" si="72"/>
        <v>#DIV/0!</v>
      </c>
      <c r="AN158" s="35" t="e">
        <f t="shared" si="72"/>
        <v>#DIV/0!</v>
      </c>
      <c r="AO158" s="35" t="e">
        <f t="shared" si="72"/>
        <v>#DIV/0!</v>
      </c>
      <c r="AP158" s="33"/>
      <c r="AQ158" s="43">
        <f t="shared" si="66"/>
        <v>0</v>
      </c>
      <c r="AR158" s="43">
        <f t="shared" si="67"/>
        <v>0</v>
      </c>
    </row>
    <row r="159" spans="3:44" x14ac:dyDescent="0.3">
      <c r="C159" s="174" t="str">
        <f t="shared" si="73"/>
        <v/>
      </c>
      <c r="AD159" s="33">
        <v>155</v>
      </c>
      <c r="AE159" s="33">
        <f t="shared" si="65"/>
        <v>0</v>
      </c>
      <c r="AF159" s="33" t="str">
        <f t="shared" si="70"/>
        <v>OGW</v>
      </c>
      <c r="AG159" s="43" t="str">
        <f t="shared" si="69"/>
        <v>OGW</v>
      </c>
      <c r="AH159" s="33" t="e">
        <f t="shared" si="71"/>
        <v>#DIV/0!</v>
      </c>
      <c r="AI159" s="35" t="e">
        <f t="shared" si="72"/>
        <v>#DIV/0!</v>
      </c>
      <c r="AJ159" s="35" t="e">
        <f t="shared" si="72"/>
        <v>#DIV/0!</v>
      </c>
      <c r="AK159" s="35" t="e">
        <f t="shared" si="72"/>
        <v>#DIV/0!</v>
      </c>
      <c r="AL159" s="35" t="e">
        <f t="shared" si="72"/>
        <v>#DIV/0!</v>
      </c>
      <c r="AM159" s="35" t="e">
        <f t="shared" si="72"/>
        <v>#DIV/0!</v>
      </c>
      <c r="AN159" s="35" t="e">
        <f t="shared" si="72"/>
        <v>#DIV/0!</v>
      </c>
      <c r="AO159" s="35" t="e">
        <f t="shared" si="72"/>
        <v>#DIV/0!</v>
      </c>
      <c r="AP159" s="33"/>
      <c r="AQ159" s="43">
        <f t="shared" si="66"/>
        <v>0</v>
      </c>
      <c r="AR159" s="43">
        <f t="shared" si="67"/>
        <v>0</v>
      </c>
    </row>
    <row r="160" spans="3:44" x14ac:dyDescent="0.3">
      <c r="C160" s="174" t="str">
        <f t="shared" si="73"/>
        <v/>
      </c>
      <c r="AD160" s="33">
        <v>156</v>
      </c>
      <c r="AE160" s="33">
        <f t="shared" si="65"/>
        <v>0</v>
      </c>
      <c r="AF160" s="33" t="str">
        <f t="shared" si="70"/>
        <v>OGW</v>
      </c>
      <c r="AG160" s="43" t="str">
        <f t="shared" si="69"/>
        <v>OGW</v>
      </c>
      <c r="AH160" s="33" t="e">
        <f t="shared" si="71"/>
        <v>#DIV/0!</v>
      </c>
      <c r="AI160" s="35" t="e">
        <f t="shared" si="72"/>
        <v>#DIV/0!</v>
      </c>
      <c r="AJ160" s="35" t="e">
        <f t="shared" si="72"/>
        <v>#DIV/0!</v>
      </c>
      <c r="AK160" s="35" t="e">
        <f t="shared" si="72"/>
        <v>#DIV/0!</v>
      </c>
      <c r="AL160" s="35" t="e">
        <f t="shared" si="72"/>
        <v>#DIV/0!</v>
      </c>
      <c r="AM160" s="35" t="e">
        <f t="shared" si="72"/>
        <v>#DIV/0!</v>
      </c>
      <c r="AN160" s="35" t="e">
        <f t="shared" si="72"/>
        <v>#DIV/0!</v>
      </c>
      <c r="AO160" s="35" t="e">
        <f t="shared" si="72"/>
        <v>#DIV/0!</v>
      </c>
      <c r="AP160" s="33"/>
      <c r="AQ160" s="43">
        <f t="shared" si="66"/>
        <v>0</v>
      </c>
      <c r="AR160" s="43">
        <f t="shared" si="67"/>
        <v>0</v>
      </c>
    </row>
    <row r="161" spans="3:44" x14ac:dyDescent="0.3">
      <c r="C161" s="174" t="str">
        <f t="shared" si="73"/>
        <v/>
      </c>
      <c r="AD161" s="33">
        <v>157</v>
      </c>
      <c r="AE161" s="33">
        <f t="shared" si="65"/>
        <v>0</v>
      </c>
      <c r="AF161" s="33" t="str">
        <f t="shared" si="70"/>
        <v>OGW</v>
      </c>
      <c r="AG161" s="43" t="str">
        <f t="shared" si="69"/>
        <v>OGW</v>
      </c>
      <c r="AH161" s="33" t="e">
        <f t="shared" si="71"/>
        <v>#DIV/0!</v>
      </c>
      <c r="AI161" s="35" t="e">
        <f t="shared" si="72"/>
        <v>#DIV/0!</v>
      </c>
      <c r="AJ161" s="35" t="e">
        <f t="shared" si="72"/>
        <v>#DIV/0!</v>
      </c>
      <c r="AK161" s="35" t="e">
        <f t="shared" si="72"/>
        <v>#DIV/0!</v>
      </c>
      <c r="AL161" s="35" t="e">
        <f t="shared" si="72"/>
        <v>#DIV/0!</v>
      </c>
      <c r="AM161" s="35" t="e">
        <f t="shared" si="72"/>
        <v>#DIV/0!</v>
      </c>
      <c r="AN161" s="35" t="e">
        <f t="shared" si="72"/>
        <v>#DIV/0!</v>
      </c>
      <c r="AO161" s="35" t="e">
        <f t="shared" si="72"/>
        <v>#DIV/0!</v>
      </c>
      <c r="AP161" s="33"/>
      <c r="AQ161" s="43">
        <f t="shared" si="66"/>
        <v>0</v>
      </c>
      <c r="AR161" s="43">
        <f t="shared" si="67"/>
        <v>0</v>
      </c>
    </row>
    <row r="162" spans="3:44" x14ac:dyDescent="0.3">
      <c r="C162" s="174" t="str">
        <f t="shared" si="73"/>
        <v/>
      </c>
      <c r="AD162" s="33">
        <v>158</v>
      </c>
      <c r="AE162" s="33">
        <f t="shared" si="65"/>
        <v>0</v>
      </c>
      <c r="AF162" s="33" t="str">
        <f t="shared" si="70"/>
        <v>OGW</v>
      </c>
      <c r="AG162" s="43" t="str">
        <f t="shared" si="69"/>
        <v>OGW</v>
      </c>
      <c r="AH162" s="33" t="e">
        <f t="shared" si="71"/>
        <v>#DIV/0!</v>
      </c>
      <c r="AI162" s="35" t="e">
        <f t="shared" si="72"/>
        <v>#DIV/0!</v>
      </c>
      <c r="AJ162" s="35" t="e">
        <f t="shared" si="72"/>
        <v>#DIV/0!</v>
      </c>
      <c r="AK162" s="35" t="e">
        <f t="shared" si="72"/>
        <v>#DIV/0!</v>
      </c>
      <c r="AL162" s="35" t="e">
        <f t="shared" si="72"/>
        <v>#DIV/0!</v>
      </c>
      <c r="AM162" s="35" t="e">
        <f t="shared" si="72"/>
        <v>#DIV/0!</v>
      </c>
      <c r="AN162" s="35" t="e">
        <f t="shared" si="72"/>
        <v>#DIV/0!</v>
      </c>
      <c r="AO162" s="35" t="e">
        <f t="shared" si="72"/>
        <v>#DIV/0!</v>
      </c>
      <c r="AP162" s="33"/>
      <c r="AQ162" s="43">
        <f t="shared" si="66"/>
        <v>0</v>
      </c>
      <c r="AR162" s="43">
        <f t="shared" si="67"/>
        <v>0</v>
      </c>
    </row>
    <row r="163" spans="3:44" x14ac:dyDescent="0.3">
      <c r="C163" s="174" t="str">
        <f t="shared" si="73"/>
        <v/>
      </c>
      <c r="AD163" s="33">
        <v>159</v>
      </c>
      <c r="AE163" s="33">
        <f t="shared" si="65"/>
        <v>0</v>
      </c>
      <c r="AF163" s="33" t="str">
        <f t="shared" si="70"/>
        <v>OGW</v>
      </c>
      <c r="AG163" s="43" t="str">
        <f t="shared" si="69"/>
        <v>OGW</v>
      </c>
      <c r="AH163" s="33" t="e">
        <f t="shared" si="71"/>
        <v>#DIV/0!</v>
      </c>
      <c r="AI163" s="35" t="e">
        <f t="shared" si="72"/>
        <v>#DIV/0!</v>
      </c>
      <c r="AJ163" s="35" t="e">
        <f t="shared" si="72"/>
        <v>#DIV/0!</v>
      </c>
      <c r="AK163" s="35" t="e">
        <f t="shared" si="72"/>
        <v>#DIV/0!</v>
      </c>
      <c r="AL163" s="35" t="e">
        <f t="shared" si="72"/>
        <v>#DIV/0!</v>
      </c>
      <c r="AM163" s="35" t="e">
        <f t="shared" si="72"/>
        <v>#DIV/0!</v>
      </c>
      <c r="AN163" s="35" t="e">
        <f t="shared" si="72"/>
        <v>#DIV/0!</v>
      </c>
      <c r="AO163" s="35" t="e">
        <f t="shared" si="72"/>
        <v>#DIV/0!</v>
      </c>
      <c r="AP163" s="33"/>
      <c r="AQ163" s="43">
        <f t="shared" si="66"/>
        <v>0</v>
      </c>
      <c r="AR163" s="43">
        <f t="shared" si="67"/>
        <v>0</v>
      </c>
    </row>
    <row r="164" spans="3:44" x14ac:dyDescent="0.3">
      <c r="C164" s="174" t="str">
        <f t="shared" si="73"/>
        <v/>
      </c>
      <c r="AD164" s="33">
        <v>160</v>
      </c>
      <c r="AE164" s="33">
        <f t="shared" si="65"/>
        <v>0</v>
      </c>
      <c r="AF164" s="33" t="str">
        <f t="shared" si="70"/>
        <v>OGW</v>
      </c>
      <c r="AG164" s="43" t="str">
        <f t="shared" si="69"/>
        <v>OGW</v>
      </c>
      <c r="AH164" s="33" t="e">
        <f t="shared" si="71"/>
        <v>#DIV/0!</v>
      </c>
      <c r="AI164" s="35" t="e">
        <f t="shared" si="72"/>
        <v>#DIV/0!</v>
      </c>
      <c r="AJ164" s="35" t="e">
        <f t="shared" si="72"/>
        <v>#DIV/0!</v>
      </c>
      <c r="AK164" s="35" t="e">
        <f t="shared" si="72"/>
        <v>#DIV/0!</v>
      </c>
      <c r="AL164" s="35" t="e">
        <f t="shared" si="72"/>
        <v>#DIV/0!</v>
      </c>
      <c r="AM164" s="35" t="e">
        <f t="shared" si="72"/>
        <v>#DIV/0!</v>
      </c>
      <c r="AN164" s="35" t="e">
        <f t="shared" si="72"/>
        <v>#DIV/0!</v>
      </c>
      <c r="AO164" s="35" t="e">
        <f t="shared" si="72"/>
        <v>#DIV/0!</v>
      </c>
      <c r="AP164" s="33"/>
      <c r="AQ164" s="43">
        <f t="shared" si="66"/>
        <v>0</v>
      </c>
      <c r="AR164" s="43">
        <f t="shared" si="67"/>
        <v>0</v>
      </c>
    </row>
    <row r="165" spans="3:44" x14ac:dyDescent="0.3">
      <c r="C165" s="174" t="str">
        <f t="shared" si="73"/>
        <v/>
      </c>
      <c r="AD165" s="33">
        <v>161</v>
      </c>
      <c r="AE165" s="33">
        <f t="shared" ref="AE165:AE196" si="74">IF(($P$21&gt;AD165),AD165,$P$21)</f>
        <v>0</v>
      </c>
      <c r="AF165" s="33" t="str">
        <f t="shared" si="70"/>
        <v>OGW</v>
      </c>
      <c r="AG165" s="43" t="str">
        <f t="shared" si="69"/>
        <v>OGW</v>
      </c>
      <c r="AH165" s="33" t="e">
        <f t="shared" si="71"/>
        <v>#DIV/0!</v>
      </c>
      <c r="AI165" s="35" t="e">
        <f t="shared" si="72"/>
        <v>#DIV/0!</v>
      </c>
      <c r="AJ165" s="35" t="e">
        <f t="shared" si="72"/>
        <v>#DIV/0!</v>
      </c>
      <c r="AK165" s="35" t="e">
        <f t="shared" si="72"/>
        <v>#DIV/0!</v>
      </c>
      <c r="AL165" s="35" t="e">
        <f t="shared" si="72"/>
        <v>#DIV/0!</v>
      </c>
      <c r="AM165" s="35" t="e">
        <f t="shared" si="72"/>
        <v>#DIV/0!</v>
      </c>
      <c r="AN165" s="35" t="e">
        <f t="shared" si="72"/>
        <v>#DIV/0!</v>
      </c>
      <c r="AO165" s="35" t="e">
        <f t="shared" si="72"/>
        <v>#DIV/0!</v>
      </c>
      <c r="AP165" s="33"/>
      <c r="AQ165" s="43">
        <f t="shared" ref="AQ165:AQ196" si="75">IF(AND(C165&lt;&gt;"",C165&lt;UGW),1,0)</f>
        <v>0</v>
      </c>
      <c r="AR165" s="43">
        <f t="shared" ref="AR165:AR196" si="76">IF(AND(C165&lt;&gt;"",C165&gt;OGW),1,0)</f>
        <v>0</v>
      </c>
    </row>
    <row r="166" spans="3:44" x14ac:dyDescent="0.3">
      <c r="C166" s="174" t="str">
        <f t="shared" si="73"/>
        <v/>
      </c>
      <c r="AD166" s="33">
        <v>162</v>
      </c>
      <c r="AE166" s="33">
        <f t="shared" si="74"/>
        <v>0</v>
      </c>
      <c r="AF166" s="33" t="str">
        <f t="shared" si="70"/>
        <v>OGW</v>
      </c>
      <c r="AG166" s="43" t="str">
        <f t="shared" si="69"/>
        <v>OGW</v>
      </c>
      <c r="AH166" s="33" t="e">
        <f t="shared" si="71"/>
        <v>#DIV/0!</v>
      </c>
      <c r="AI166" s="35" t="e">
        <f t="shared" ref="AI166:AO181" si="77">AI165</f>
        <v>#DIV/0!</v>
      </c>
      <c r="AJ166" s="35" t="e">
        <f t="shared" si="77"/>
        <v>#DIV/0!</v>
      </c>
      <c r="AK166" s="35" t="e">
        <f t="shared" si="77"/>
        <v>#DIV/0!</v>
      </c>
      <c r="AL166" s="35" t="e">
        <f t="shared" si="77"/>
        <v>#DIV/0!</v>
      </c>
      <c r="AM166" s="35" t="e">
        <f t="shared" si="77"/>
        <v>#DIV/0!</v>
      </c>
      <c r="AN166" s="35" t="e">
        <f t="shared" si="77"/>
        <v>#DIV/0!</v>
      </c>
      <c r="AO166" s="35" t="e">
        <f t="shared" si="77"/>
        <v>#DIV/0!</v>
      </c>
      <c r="AP166" s="33"/>
      <c r="AQ166" s="43">
        <f t="shared" si="75"/>
        <v>0</v>
      </c>
      <c r="AR166" s="43">
        <f t="shared" si="76"/>
        <v>0</v>
      </c>
    </row>
    <row r="167" spans="3:44" x14ac:dyDescent="0.3">
      <c r="C167" s="174" t="str">
        <f t="shared" si="73"/>
        <v/>
      </c>
      <c r="AD167" s="33">
        <v>163</v>
      </c>
      <c r="AE167" s="33">
        <f t="shared" si="74"/>
        <v>0</v>
      </c>
      <c r="AF167" s="33" t="str">
        <f t="shared" si="70"/>
        <v>OGW</v>
      </c>
      <c r="AG167" s="43" t="str">
        <f t="shared" si="69"/>
        <v>OGW</v>
      </c>
      <c r="AH167" s="33" t="e">
        <f t="shared" si="71"/>
        <v>#DIV/0!</v>
      </c>
      <c r="AI167" s="35" t="e">
        <f t="shared" si="77"/>
        <v>#DIV/0!</v>
      </c>
      <c r="AJ167" s="35" t="e">
        <f t="shared" si="77"/>
        <v>#DIV/0!</v>
      </c>
      <c r="AK167" s="35" t="e">
        <f t="shared" si="77"/>
        <v>#DIV/0!</v>
      </c>
      <c r="AL167" s="35" t="e">
        <f t="shared" si="77"/>
        <v>#DIV/0!</v>
      </c>
      <c r="AM167" s="35" t="e">
        <f t="shared" si="77"/>
        <v>#DIV/0!</v>
      </c>
      <c r="AN167" s="35" t="e">
        <f t="shared" si="77"/>
        <v>#DIV/0!</v>
      </c>
      <c r="AO167" s="35" t="e">
        <f t="shared" si="77"/>
        <v>#DIV/0!</v>
      </c>
      <c r="AP167" s="33"/>
      <c r="AQ167" s="43">
        <f t="shared" si="75"/>
        <v>0</v>
      </c>
      <c r="AR167" s="43">
        <f t="shared" si="76"/>
        <v>0</v>
      </c>
    </row>
    <row r="168" spans="3:44" x14ac:dyDescent="0.3">
      <c r="C168" s="174" t="str">
        <f t="shared" si="73"/>
        <v/>
      </c>
      <c r="AD168" s="33">
        <v>164</v>
      </c>
      <c r="AE168" s="33">
        <f t="shared" si="74"/>
        <v>0</v>
      </c>
      <c r="AF168" s="33" t="str">
        <f t="shared" si="70"/>
        <v>OGW</v>
      </c>
      <c r="AG168" s="43" t="str">
        <f t="shared" si="69"/>
        <v>OGW</v>
      </c>
      <c r="AH168" s="33" t="e">
        <f t="shared" si="71"/>
        <v>#DIV/0!</v>
      </c>
      <c r="AI168" s="35" t="e">
        <f t="shared" si="77"/>
        <v>#DIV/0!</v>
      </c>
      <c r="AJ168" s="35" t="e">
        <f t="shared" si="77"/>
        <v>#DIV/0!</v>
      </c>
      <c r="AK168" s="35" t="e">
        <f t="shared" si="77"/>
        <v>#DIV/0!</v>
      </c>
      <c r="AL168" s="35" t="e">
        <f t="shared" si="77"/>
        <v>#DIV/0!</v>
      </c>
      <c r="AM168" s="35" t="e">
        <f t="shared" si="77"/>
        <v>#DIV/0!</v>
      </c>
      <c r="AN168" s="35" t="e">
        <f t="shared" si="77"/>
        <v>#DIV/0!</v>
      </c>
      <c r="AO168" s="35" t="e">
        <f t="shared" si="77"/>
        <v>#DIV/0!</v>
      </c>
      <c r="AP168" s="33"/>
      <c r="AQ168" s="43">
        <f t="shared" si="75"/>
        <v>0</v>
      </c>
      <c r="AR168" s="43">
        <f t="shared" si="76"/>
        <v>0</v>
      </c>
    </row>
    <row r="169" spans="3:44" x14ac:dyDescent="0.3">
      <c r="C169" s="174" t="str">
        <f t="shared" si="73"/>
        <v/>
      </c>
      <c r="AD169" s="33">
        <v>165</v>
      </c>
      <c r="AE169" s="33">
        <f t="shared" si="74"/>
        <v>0</v>
      </c>
      <c r="AF169" s="33" t="str">
        <f t="shared" si="70"/>
        <v>OGW</v>
      </c>
      <c r="AG169" s="43" t="str">
        <f t="shared" si="69"/>
        <v>OGW</v>
      </c>
      <c r="AH169" s="33" t="e">
        <f t="shared" si="71"/>
        <v>#DIV/0!</v>
      </c>
      <c r="AI169" s="35" t="e">
        <f t="shared" si="77"/>
        <v>#DIV/0!</v>
      </c>
      <c r="AJ169" s="35" t="e">
        <f t="shared" si="77"/>
        <v>#DIV/0!</v>
      </c>
      <c r="AK169" s="35" t="e">
        <f t="shared" si="77"/>
        <v>#DIV/0!</v>
      </c>
      <c r="AL169" s="35" t="e">
        <f t="shared" si="77"/>
        <v>#DIV/0!</v>
      </c>
      <c r="AM169" s="35" t="e">
        <f t="shared" si="77"/>
        <v>#DIV/0!</v>
      </c>
      <c r="AN169" s="35" t="e">
        <f t="shared" si="77"/>
        <v>#DIV/0!</v>
      </c>
      <c r="AO169" s="35" t="e">
        <f t="shared" si="77"/>
        <v>#DIV/0!</v>
      </c>
      <c r="AP169" s="33"/>
      <c r="AQ169" s="43">
        <f t="shared" si="75"/>
        <v>0</v>
      </c>
      <c r="AR169" s="43">
        <f t="shared" si="76"/>
        <v>0</v>
      </c>
    </row>
    <row r="170" spans="3:44" x14ac:dyDescent="0.3">
      <c r="C170" s="174" t="str">
        <f t="shared" si="73"/>
        <v/>
      </c>
      <c r="AD170" s="33">
        <v>166</v>
      </c>
      <c r="AE170" s="33">
        <f t="shared" si="74"/>
        <v>0</v>
      </c>
      <c r="AF170" s="33" t="str">
        <f t="shared" si="70"/>
        <v>OGW</v>
      </c>
      <c r="AG170" s="43" t="str">
        <f t="shared" si="69"/>
        <v>OGW</v>
      </c>
      <c r="AH170" s="33" t="e">
        <f t="shared" si="71"/>
        <v>#DIV/0!</v>
      </c>
      <c r="AI170" s="35" t="e">
        <f t="shared" si="77"/>
        <v>#DIV/0!</v>
      </c>
      <c r="AJ170" s="35" t="e">
        <f t="shared" si="77"/>
        <v>#DIV/0!</v>
      </c>
      <c r="AK170" s="35" t="e">
        <f t="shared" si="77"/>
        <v>#DIV/0!</v>
      </c>
      <c r="AL170" s="35" t="e">
        <f t="shared" si="77"/>
        <v>#DIV/0!</v>
      </c>
      <c r="AM170" s="35" t="e">
        <f t="shared" si="77"/>
        <v>#DIV/0!</v>
      </c>
      <c r="AN170" s="35" t="e">
        <f t="shared" si="77"/>
        <v>#DIV/0!</v>
      </c>
      <c r="AO170" s="35" t="e">
        <f t="shared" si="77"/>
        <v>#DIV/0!</v>
      </c>
      <c r="AP170" s="33"/>
      <c r="AQ170" s="43">
        <f t="shared" si="75"/>
        <v>0</v>
      </c>
      <c r="AR170" s="43">
        <f t="shared" si="76"/>
        <v>0</v>
      </c>
    </row>
    <row r="171" spans="3:44" x14ac:dyDescent="0.3">
      <c r="C171" s="174" t="str">
        <f t="shared" si="73"/>
        <v/>
      </c>
      <c r="AD171" s="33">
        <v>167</v>
      </c>
      <c r="AE171" s="33">
        <f t="shared" si="74"/>
        <v>0</v>
      </c>
      <c r="AF171" s="33" t="str">
        <f t="shared" si="70"/>
        <v>OGW</v>
      </c>
      <c r="AG171" s="43" t="str">
        <f t="shared" si="69"/>
        <v>OGW</v>
      </c>
      <c r="AH171" s="33" t="e">
        <f t="shared" si="71"/>
        <v>#DIV/0!</v>
      </c>
      <c r="AI171" s="35" t="e">
        <f t="shared" si="77"/>
        <v>#DIV/0!</v>
      </c>
      <c r="AJ171" s="35" t="e">
        <f t="shared" si="77"/>
        <v>#DIV/0!</v>
      </c>
      <c r="AK171" s="35" t="e">
        <f t="shared" si="77"/>
        <v>#DIV/0!</v>
      </c>
      <c r="AL171" s="35" t="e">
        <f t="shared" si="77"/>
        <v>#DIV/0!</v>
      </c>
      <c r="AM171" s="35" t="e">
        <f t="shared" si="77"/>
        <v>#DIV/0!</v>
      </c>
      <c r="AN171" s="35" t="e">
        <f t="shared" si="77"/>
        <v>#DIV/0!</v>
      </c>
      <c r="AO171" s="35" t="e">
        <f t="shared" si="77"/>
        <v>#DIV/0!</v>
      </c>
      <c r="AP171" s="33"/>
      <c r="AQ171" s="43">
        <f t="shared" si="75"/>
        <v>0</v>
      </c>
      <c r="AR171" s="43">
        <f t="shared" si="76"/>
        <v>0</v>
      </c>
    </row>
    <row r="172" spans="3:44" x14ac:dyDescent="0.3">
      <c r="C172" s="174" t="str">
        <f t="shared" si="73"/>
        <v/>
      </c>
      <c r="AD172" s="33">
        <v>168</v>
      </c>
      <c r="AE172" s="33">
        <f t="shared" si="74"/>
        <v>0</v>
      </c>
      <c r="AF172" s="33" t="str">
        <f t="shared" si="70"/>
        <v>OGW</v>
      </c>
      <c r="AG172" s="43" t="str">
        <f t="shared" si="69"/>
        <v>OGW</v>
      </c>
      <c r="AH172" s="33" t="e">
        <f t="shared" si="71"/>
        <v>#DIV/0!</v>
      </c>
      <c r="AI172" s="35" t="e">
        <f t="shared" si="77"/>
        <v>#DIV/0!</v>
      </c>
      <c r="AJ172" s="35" t="e">
        <f t="shared" si="77"/>
        <v>#DIV/0!</v>
      </c>
      <c r="AK172" s="35" t="e">
        <f t="shared" si="77"/>
        <v>#DIV/0!</v>
      </c>
      <c r="AL172" s="35" t="e">
        <f t="shared" si="77"/>
        <v>#DIV/0!</v>
      </c>
      <c r="AM172" s="35" t="e">
        <f t="shared" si="77"/>
        <v>#DIV/0!</v>
      </c>
      <c r="AN172" s="35" t="e">
        <f t="shared" si="77"/>
        <v>#DIV/0!</v>
      </c>
      <c r="AO172" s="35" t="e">
        <f t="shared" si="77"/>
        <v>#DIV/0!</v>
      </c>
      <c r="AP172" s="33"/>
      <c r="AQ172" s="43">
        <f t="shared" si="75"/>
        <v>0</v>
      </c>
      <c r="AR172" s="43">
        <f t="shared" si="76"/>
        <v>0</v>
      </c>
    </row>
    <row r="173" spans="3:44" x14ac:dyDescent="0.3">
      <c r="C173" s="174" t="str">
        <f t="shared" si="73"/>
        <v/>
      </c>
      <c r="AD173" s="33">
        <v>169</v>
      </c>
      <c r="AE173" s="33">
        <f t="shared" si="74"/>
        <v>0</v>
      </c>
      <c r="AF173" s="33" t="str">
        <f t="shared" si="70"/>
        <v>OGW</v>
      </c>
      <c r="AG173" s="43" t="str">
        <f t="shared" si="69"/>
        <v>OGW</v>
      </c>
      <c r="AH173" s="33" t="e">
        <f t="shared" si="71"/>
        <v>#DIV/0!</v>
      </c>
      <c r="AI173" s="35" t="e">
        <f t="shared" si="77"/>
        <v>#DIV/0!</v>
      </c>
      <c r="AJ173" s="35" t="e">
        <f t="shared" si="77"/>
        <v>#DIV/0!</v>
      </c>
      <c r="AK173" s="35" t="e">
        <f t="shared" si="77"/>
        <v>#DIV/0!</v>
      </c>
      <c r="AL173" s="35" t="e">
        <f t="shared" si="77"/>
        <v>#DIV/0!</v>
      </c>
      <c r="AM173" s="35" t="e">
        <f t="shared" si="77"/>
        <v>#DIV/0!</v>
      </c>
      <c r="AN173" s="35" t="e">
        <f t="shared" si="77"/>
        <v>#DIV/0!</v>
      </c>
      <c r="AO173" s="35" t="e">
        <f t="shared" si="77"/>
        <v>#DIV/0!</v>
      </c>
      <c r="AP173" s="33"/>
      <c r="AQ173" s="43">
        <f t="shared" si="75"/>
        <v>0</v>
      </c>
      <c r="AR173" s="43">
        <f t="shared" si="76"/>
        <v>0</v>
      </c>
    </row>
    <row r="174" spans="3:44" x14ac:dyDescent="0.3">
      <c r="C174" s="174" t="str">
        <f t="shared" si="73"/>
        <v/>
      </c>
      <c r="AD174" s="33">
        <v>170</v>
      </c>
      <c r="AE174" s="33">
        <f t="shared" si="74"/>
        <v>0</v>
      </c>
      <c r="AF174" s="33" t="str">
        <f t="shared" si="70"/>
        <v>OGW</v>
      </c>
      <c r="AG174" s="43" t="str">
        <f t="shared" si="69"/>
        <v>OGW</v>
      </c>
      <c r="AH174" s="33" t="e">
        <f t="shared" si="71"/>
        <v>#DIV/0!</v>
      </c>
      <c r="AI174" s="35" t="e">
        <f t="shared" si="77"/>
        <v>#DIV/0!</v>
      </c>
      <c r="AJ174" s="35" t="e">
        <f t="shared" si="77"/>
        <v>#DIV/0!</v>
      </c>
      <c r="AK174" s="35" t="e">
        <f t="shared" si="77"/>
        <v>#DIV/0!</v>
      </c>
      <c r="AL174" s="35" t="e">
        <f t="shared" si="77"/>
        <v>#DIV/0!</v>
      </c>
      <c r="AM174" s="35" t="e">
        <f t="shared" si="77"/>
        <v>#DIV/0!</v>
      </c>
      <c r="AN174" s="35" t="e">
        <f t="shared" si="77"/>
        <v>#DIV/0!</v>
      </c>
      <c r="AO174" s="35" t="e">
        <f t="shared" si="77"/>
        <v>#DIV/0!</v>
      </c>
      <c r="AP174" s="33"/>
      <c r="AQ174" s="43">
        <f t="shared" si="75"/>
        <v>0</v>
      </c>
      <c r="AR174" s="43">
        <f t="shared" si="76"/>
        <v>0</v>
      </c>
    </row>
    <row r="175" spans="3:44" x14ac:dyDescent="0.3">
      <c r="C175" s="174" t="str">
        <f t="shared" si="73"/>
        <v/>
      </c>
      <c r="AD175" s="33">
        <v>171</v>
      </c>
      <c r="AE175" s="33">
        <f t="shared" si="74"/>
        <v>0</v>
      </c>
      <c r="AF175" s="33" t="str">
        <f t="shared" si="70"/>
        <v>OGW</v>
      </c>
      <c r="AG175" s="43" t="str">
        <f t="shared" si="69"/>
        <v>OGW</v>
      </c>
      <c r="AH175" s="33" t="e">
        <f t="shared" si="71"/>
        <v>#DIV/0!</v>
      </c>
      <c r="AI175" s="35" t="e">
        <f t="shared" si="77"/>
        <v>#DIV/0!</v>
      </c>
      <c r="AJ175" s="35" t="e">
        <f t="shared" si="77"/>
        <v>#DIV/0!</v>
      </c>
      <c r="AK175" s="35" t="e">
        <f t="shared" si="77"/>
        <v>#DIV/0!</v>
      </c>
      <c r="AL175" s="35" t="e">
        <f t="shared" si="77"/>
        <v>#DIV/0!</v>
      </c>
      <c r="AM175" s="35" t="e">
        <f t="shared" si="77"/>
        <v>#DIV/0!</v>
      </c>
      <c r="AN175" s="35" t="e">
        <f t="shared" si="77"/>
        <v>#DIV/0!</v>
      </c>
      <c r="AO175" s="35" t="e">
        <f t="shared" si="77"/>
        <v>#DIV/0!</v>
      </c>
      <c r="AP175" s="33"/>
      <c r="AQ175" s="43">
        <f t="shared" si="75"/>
        <v>0</v>
      </c>
      <c r="AR175" s="43">
        <f t="shared" si="76"/>
        <v>0</v>
      </c>
    </row>
    <row r="176" spans="3:44" x14ac:dyDescent="0.3">
      <c r="C176" s="174" t="str">
        <f t="shared" si="73"/>
        <v/>
      </c>
      <c r="AD176" s="33">
        <v>172</v>
      </c>
      <c r="AE176" s="33">
        <f t="shared" si="74"/>
        <v>0</v>
      </c>
      <c r="AF176" s="33" t="str">
        <f t="shared" si="70"/>
        <v>OGW</v>
      </c>
      <c r="AG176" s="43" t="str">
        <f t="shared" si="69"/>
        <v>OGW</v>
      </c>
      <c r="AH176" s="33" t="e">
        <f t="shared" si="71"/>
        <v>#DIV/0!</v>
      </c>
      <c r="AI176" s="35" t="e">
        <f t="shared" si="77"/>
        <v>#DIV/0!</v>
      </c>
      <c r="AJ176" s="35" t="e">
        <f t="shared" si="77"/>
        <v>#DIV/0!</v>
      </c>
      <c r="AK176" s="35" t="e">
        <f t="shared" si="77"/>
        <v>#DIV/0!</v>
      </c>
      <c r="AL176" s="35" t="e">
        <f t="shared" si="77"/>
        <v>#DIV/0!</v>
      </c>
      <c r="AM176" s="35" t="e">
        <f t="shared" si="77"/>
        <v>#DIV/0!</v>
      </c>
      <c r="AN176" s="35" t="e">
        <f t="shared" si="77"/>
        <v>#DIV/0!</v>
      </c>
      <c r="AO176" s="35" t="e">
        <f t="shared" si="77"/>
        <v>#DIV/0!</v>
      </c>
      <c r="AP176" s="33"/>
      <c r="AQ176" s="43">
        <f t="shared" si="75"/>
        <v>0</v>
      </c>
      <c r="AR176" s="43">
        <f t="shared" si="76"/>
        <v>0</v>
      </c>
    </row>
    <row r="177" spans="3:44" x14ac:dyDescent="0.3">
      <c r="C177" s="174" t="str">
        <f t="shared" si="73"/>
        <v/>
      </c>
      <c r="AD177" s="33">
        <v>173</v>
      </c>
      <c r="AE177" s="33">
        <f t="shared" si="74"/>
        <v>0</v>
      </c>
      <c r="AF177" s="33" t="str">
        <f t="shared" si="70"/>
        <v>OGW</v>
      </c>
      <c r="AG177" s="43" t="str">
        <f t="shared" si="69"/>
        <v>OGW</v>
      </c>
      <c r="AH177" s="33" t="e">
        <f t="shared" si="71"/>
        <v>#DIV/0!</v>
      </c>
      <c r="AI177" s="35" t="e">
        <f t="shared" si="77"/>
        <v>#DIV/0!</v>
      </c>
      <c r="AJ177" s="35" t="e">
        <f t="shared" si="77"/>
        <v>#DIV/0!</v>
      </c>
      <c r="AK177" s="35" t="e">
        <f t="shared" si="77"/>
        <v>#DIV/0!</v>
      </c>
      <c r="AL177" s="35" t="e">
        <f t="shared" si="77"/>
        <v>#DIV/0!</v>
      </c>
      <c r="AM177" s="35" t="e">
        <f t="shared" si="77"/>
        <v>#DIV/0!</v>
      </c>
      <c r="AN177" s="35" t="e">
        <f t="shared" si="77"/>
        <v>#DIV/0!</v>
      </c>
      <c r="AO177" s="35" t="e">
        <f t="shared" si="77"/>
        <v>#DIV/0!</v>
      </c>
      <c r="AP177" s="33"/>
      <c r="AQ177" s="43">
        <f t="shared" si="75"/>
        <v>0</v>
      </c>
      <c r="AR177" s="43">
        <f t="shared" si="76"/>
        <v>0</v>
      </c>
    </row>
    <row r="178" spans="3:44" x14ac:dyDescent="0.3">
      <c r="C178" s="174" t="str">
        <f t="shared" si="73"/>
        <v/>
      </c>
      <c r="AD178" s="33">
        <v>174</v>
      </c>
      <c r="AE178" s="33">
        <f t="shared" si="74"/>
        <v>0</v>
      </c>
      <c r="AF178" s="33" t="str">
        <f t="shared" si="70"/>
        <v>OGW</v>
      </c>
      <c r="AG178" s="43" t="str">
        <f t="shared" si="69"/>
        <v>OGW</v>
      </c>
      <c r="AH178" s="33" t="e">
        <f t="shared" si="71"/>
        <v>#DIV/0!</v>
      </c>
      <c r="AI178" s="35" t="e">
        <f t="shared" si="77"/>
        <v>#DIV/0!</v>
      </c>
      <c r="AJ178" s="35" t="e">
        <f t="shared" si="77"/>
        <v>#DIV/0!</v>
      </c>
      <c r="AK178" s="35" t="e">
        <f t="shared" si="77"/>
        <v>#DIV/0!</v>
      </c>
      <c r="AL178" s="35" t="e">
        <f t="shared" si="77"/>
        <v>#DIV/0!</v>
      </c>
      <c r="AM178" s="35" t="e">
        <f t="shared" si="77"/>
        <v>#DIV/0!</v>
      </c>
      <c r="AN178" s="35" t="e">
        <f t="shared" si="77"/>
        <v>#DIV/0!</v>
      </c>
      <c r="AO178" s="35" t="e">
        <f t="shared" si="77"/>
        <v>#DIV/0!</v>
      </c>
      <c r="AP178" s="33"/>
      <c r="AQ178" s="43">
        <f t="shared" si="75"/>
        <v>0</v>
      </c>
      <c r="AR178" s="43">
        <f t="shared" si="76"/>
        <v>0</v>
      </c>
    </row>
    <row r="179" spans="3:44" x14ac:dyDescent="0.3">
      <c r="C179" s="174" t="str">
        <f t="shared" si="73"/>
        <v/>
      </c>
      <c r="AD179" s="33">
        <v>175</v>
      </c>
      <c r="AE179" s="33">
        <f t="shared" si="74"/>
        <v>0</v>
      </c>
      <c r="AF179" s="33" t="str">
        <f t="shared" si="70"/>
        <v>OGW</v>
      </c>
      <c r="AG179" s="43" t="str">
        <f t="shared" si="69"/>
        <v>OGW</v>
      </c>
      <c r="AH179" s="33" t="e">
        <f t="shared" si="71"/>
        <v>#DIV/0!</v>
      </c>
      <c r="AI179" s="35" t="e">
        <f t="shared" si="77"/>
        <v>#DIV/0!</v>
      </c>
      <c r="AJ179" s="35" t="e">
        <f t="shared" si="77"/>
        <v>#DIV/0!</v>
      </c>
      <c r="AK179" s="35" t="e">
        <f t="shared" si="77"/>
        <v>#DIV/0!</v>
      </c>
      <c r="AL179" s="35" t="e">
        <f t="shared" si="77"/>
        <v>#DIV/0!</v>
      </c>
      <c r="AM179" s="35" t="e">
        <f t="shared" si="77"/>
        <v>#DIV/0!</v>
      </c>
      <c r="AN179" s="35" t="e">
        <f t="shared" si="77"/>
        <v>#DIV/0!</v>
      </c>
      <c r="AO179" s="35" t="e">
        <f t="shared" si="77"/>
        <v>#DIV/0!</v>
      </c>
      <c r="AP179" s="33"/>
      <c r="AQ179" s="43">
        <f t="shared" si="75"/>
        <v>0</v>
      </c>
      <c r="AR179" s="43">
        <f t="shared" si="76"/>
        <v>0</v>
      </c>
    </row>
    <row r="180" spans="3:44" x14ac:dyDescent="0.3">
      <c r="C180" s="174" t="str">
        <f t="shared" si="73"/>
        <v/>
      </c>
      <c r="AD180" s="33">
        <v>176</v>
      </c>
      <c r="AE180" s="33">
        <f t="shared" si="74"/>
        <v>0</v>
      </c>
      <c r="AF180" s="33" t="str">
        <f t="shared" si="70"/>
        <v>OGW</v>
      </c>
      <c r="AG180" s="43" t="str">
        <f t="shared" si="69"/>
        <v>OGW</v>
      </c>
      <c r="AH180" s="33" t="e">
        <f t="shared" si="71"/>
        <v>#DIV/0!</v>
      </c>
      <c r="AI180" s="35" t="e">
        <f t="shared" si="77"/>
        <v>#DIV/0!</v>
      </c>
      <c r="AJ180" s="35" t="e">
        <f t="shared" si="77"/>
        <v>#DIV/0!</v>
      </c>
      <c r="AK180" s="35" t="e">
        <f t="shared" si="77"/>
        <v>#DIV/0!</v>
      </c>
      <c r="AL180" s="35" t="e">
        <f t="shared" si="77"/>
        <v>#DIV/0!</v>
      </c>
      <c r="AM180" s="35" t="e">
        <f t="shared" si="77"/>
        <v>#DIV/0!</v>
      </c>
      <c r="AN180" s="35" t="e">
        <f t="shared" si="77"/>
        <v>#DIV/0!</v>
      </c>
      <c r="AO180" s="35" t="e">
        <f t="shared" si="77"/>
        <v>#DIV/0!</v>
      </c>
      <c r="AP180" s="33"/>
      <c r="AQ180" s="43">
        <f t="shared" si="75"/>
        <v>0</v>
      </c>
      <c r="AR180" s="43">
        <f t="shared" si="76"/>
        <v>0</v>
      </c>
    </row>
    <row r="181" spans="3:44" x14ac:dyDescent="0.3">
      <c r="C181" s="174" t="str">
        <f t="shared" si="73"/>
        <v/>
      </c>
      <c r="AD181" s="33">
        <v>177</v>
      </c>
      <c r="AE181" s="33">
        <f t="shared" si="74"/>
        <v>0</v>
      </c>
      <c r="AF181" s="33" t="str">
        <f t="shared" si="70"/>
        <v>OGW</v>
      </c>
      <c r="AG181" s="43" t="str">
        <f t="shared" si="69"/>
        <v>OGW</v>
      </c>
      <c r="AH181" s="33" t="e">
        <f t="shared" si="71"/>
        <v>#DIV/0!</v>
      </c>
      <c r="AI181" s="35" t="e">
        <f t="shared" si="77"/>
        <v>#DIV/0!</v>
      </c>
      <c r="AJ181" s="35" t="e">
        <f t="shared" si="77"/>
        <v>#DIV/0!</v>
      </c>
      <c r="AK181" s="35" t="e">
        <f t="shared" si="77"/>
        <v>#DIV/0!</v>
      </c>
      <c r="AL181" s="35" t="e">
        <f t="shared" si="77"/>
        <v>#DIV/0!</v>
      </c>
      <c r="AM181" s="35" t="e">
        <f t="shared" si="77"/>
        <v>#DIV/0!</v>
      </c>
      <c r="AN181" s="35" t="e">
        <f t="shared" si="77"/>
        <v>#DIV/0!</v>
      </c>
      <c r="AO181" s="35" t="e">
        <f t="shared" si="77"/>
        <v>#DIV/0!</v>
      </c>
      <c r="AP181" s="33"/>
      <c r="AQ181" s="43">
        <f t="shared" si="75"/>
        <v>0</v>
      </c>
      <c r="AR181" s="43">
        <f t="shared" si="76"/>
        <v>0</v>
      </c>
    </row>
    <row r="182" spans="3:44" x14ac:dyDescent="0.3">
      <c r="C182" s="174" t="str">
        <f t="shared" si="73"/>
        <v/>
      </c>
      <c r="AD182" s="33">
        <v>178</v>
      </c>
      <c r="AE182" s="33">
        <f t="shared" si="74"/>
        <v>0</v>
      </c>
      <c r="AF182" s="33" t="str">
        <f t="shared" si="70"/>
        <v>OGW</v>
      </c>
      <c r="AG182" s="43" t="str">
        <f t="shared" si="69"/>
        <v>OGW</v>
      </c>
      <c r="AH182" s="33" t="e">
        <f t="shared" si="71"/>
        <v>#DIV/0!</v>
      </c>
      <c r="AI182" s="35" t="e">
        <f t="shared" ref="AI182:AO197" si="78">AI181</f>
        <v>#DIV/0!</v>
      </c>
      <c r="AJ182" s="35" t="e">
        <f t="shared" si="78"/>
        <v>#DIV/0!</v>
      </c>
      <c r="AK182" s="35" t="e">
        <f t="shared" si="78"/>
        <v>#DIV/0!</v>
      </c>
      <c r="AL182" s="35" t="e">
        <f t="shared" si="78"/>
        <v>#DIV/0!</v>
      </c>
      <c r="AM182" s="35" t="e">
        <f t="shared" si="78"/>
        <v>#DIV/0!</v>
      </c>
      <c r="AN182" s="35" t="e">
        <f t="shared" si="78"/>
        <v>#DIV/0!</v>
      </c>
      <c r="AO182" s="35" t="e">
        <f t="shared" si="78"/>
        <v>#DIV/0!</v>
      </c>
      <c r="AP182" s="33"/>
      <c r="AQ182" s="43">
        <f t="shared" si="75"/>
        <v>0</v>
      </c>
      <c r="AR182" s="43">
        <f t="shared" si="76"/>
        <v>0</v>
      </c>
    </row>
    <row r="183" spans="3:44" x14ac:dyDescent="0.3">
      <c r="C183" s="174" t="str">
        <f t="shared" si="73"/>
        <v/>
      </c>
      <c r="AD183" s="33">
        <v>179</v>
      </c>
      <c r="AE183" s="33">
        <f t="shared" si="74"/>
        <v>0</v>
      </c>
      <c r="AF183" s="33" t="str">
        <f t="shared" si="70"/>
        <v>OGW</v>
      </c>
      <c r="AG183" s="43" t="str">
        <f t="shared" si="69"/>
        <v>OGW</v>
      </c>
      <c r="AH183" s="33" t="e">
        <f t="shared" si="71"/>
        <v>#DIV/0!</v>
      </c>
      <c r="AI183" s="35" t="e">
        <f t="shared" si="78"/>
        <v>#DIV/0!</v>
      </c>
      <c r="AJ183" s="35" t="e">
        <f t="shared" si="78"/>
        <v>#DIV/0!</v>
      </c>
      <c r="AK183" s="35" t="e">
        <f t="shared" si="78"/>
        <v>#DIV/0!</v>
      </c>
      <c r="AL183" s="35" t="e">
        <f t="shared" si="78"/>
        <v>#DIV/0!</v>
      </c>
      <c r="AM183" s="35" t="e">
        <f t="shared" si="78"/>
        <v>#DIV/0!</v>
      </c>
      <c r="AN183" s="35" t="e">
        <f t="shared" si="78"/>
        <v>#DIV/0!</v>
      </c>
      <c r="AO183" s="35" t="e">
        <f t="shared" si="78"/>
        <v>#DIV/0!</v>
      </c>
      <c r="AP183" s="33"/>
      <c r="AQ183" s="43">
        <f t="shared" si="75"/>
        <v>0</v>
      </c>
      <c r="AR183" s="43">
        <f t="shared" si="76"/>
        <v>0</v>
      </c>
    </row>
    <row r="184" spans="3:44" x14ac:dyDescent="0.3">
      <c r="C184" s="174" t="str">
        <f t="shared" si="73"/>
        <v/>
      </c>
      <c r="AD184" s="33">
        <v>180</v>
      </c>
      <c r="AE184" s="33">
        <f t="shared" si="74"/>
        <v>0</v>
      </c>
      <c r="AF184" s="33" t="str">
        <f t="shared" si="70"/>
        <v>OGW</v>
      </c>
      <c r="AG184" s="43" t="str">
        <f t="shared" si="69"/>
        <v>OGW</v>
      </c>
      <c r="AH184" s="33" t="e">
        <f t="shared" si="71"/>
        <v>#DIV/0!</v>
      </c>
      <c r="AI184" s="35" t="e">
        <f t="shared" si="78"/>
        <v>#DIV/0!</v>
      </c>
      <c r="AJ184" s="35" t="e">
        <f t="shared" si="78"/>
        <v>#DIV/0!</v>
      </c>
      <c r="AK184" s="35" t="e">
        <f t="shared" si="78"/>
        <v>#DIV/0!</v>
      </c>
      <c r="AL184" s="35" t="e">
        <f t="shared" si="78"/>
        <v>#DIV/0!</v>
      </c>
      <c r="AM184" s="35" t="e">
        <f t="shared" si="78"/>
        <v>#DIV/0!</v>
      </c>
      <c r="AN184" s="35" t="e">
        <f t="shared" si="78"/>
        <v>#DIV/0!</v>
      </c>
      <c r="AO184" s="35" t="e">
        <f t="shared" si="78"/>
        <v>#DIV/0!</v>
      </c>
      <c r="AP184" s="33"/>
      <c r="AQ184" s="43">
        <f t="shared" si="75"/>
        <v>0</v>
      </c>
      <c r="AR184" s="43">
        <f t="shared" si="76"/>
        <v>0</v>
      </c>
    </row>
    <row r="185" spans="3:44" x14ac:dyDescent="0.3">
      <c r="C185" s="174" t="str">
        <f t="shared" si="73"/>
        <v/>
      </c>
      <c r="AD185" s="33">
        <v>181</v>
      </c>
      <c r="AE185" s="33">
        <f t="shared" si="74"/>
        <v>0</v>
      </c>
      <c r="AF185" s="33" t="str">
        <f t="shared" si="70"/>
        <v>OGW</v>
      </c>
      <c r="AG185" s="43" t="str">
        <f t="shared" si="69"/>
        <v>OGW</v>
      </c>
      <c r="AH185" s="33" t="e">
        <f t="shared" si="71"/>
        <v>#DIV/0!</v>
      </c>
      <c r="AI185" s="35" t="e">
        <f t="shared" si="78"/>
        <v>#DIV/0!</v>
      </c>
      <c r="AJ185" s="35" t="e">
        <f t="shared" si="78"/>
        <v>#DIV/0!</v>
      </c>
      <c r="AK185" s="35" t="e">
        <f t="shared" si="78"/>
        <v>#DIV/0!</v>
      </c>
      <c r="AL185" s="35" t="e">
        <f t="shared" si="78"/>
        <v>#DIV/0!</v>
      </c>
      <c r="AM185" s="35" t="e">
        <f t="shared" si="78"/>
        <v>#DIV/0!</v>
      </c>
      <c r="AN185" s="35" t="e">
        <f t="shared" si="78"/>
        <v>#DIV/0!</v>
      </c>
      <c r="AO185" s="35" t="e">
        <f t="shared" si="78"/>
        <v>#DIV/0!</v>
      </c>
      <c r="AP185" s="33"/>
      <c r="AQ185" s="43">
        <f t="shared" si="75"/>
        <v>0</v>
      </c>
      <c r="AR185" s="43">
        <f t="shared" si="76"/>
        <v>0</v>
      </c>
    </row>
    <row r="186" spans="3:44" x14ac:dyDescent="0.3">
      <c r="C186" s="174" t="str">
        <f t="shared" si="73"/>
        <v/>
      </c>
      <c r="AD186" s="33">
        <v>182</v>
      </c>
      <c r="AE186" s="33">
        <f t="shared" si="74"/>
        <v>0</v>
      </c>
      <c r="AF186" s="33" t="str">
        <f t="shared" si="70"/>
        <v>OGW</v>
      </c>
      <c r="AG186" s="43" t="str">
        <f t="shared" si="69"/>
        <v>OGW</v>
      </c>
      <c r="AH186" s="33" t="e">
        <f t="shared" si="71"/>
        <v>#DIV/0!</v>
      </c>
      <c r="AI186" s="35" t="e">
        <f t="shared" si="78"/>
        <v>#DIV/0!</v>
      </c>
      <c r="AJ186" s="35" t="e">
        <f t="shared" si="78"/>
        <v>#DIV/0!</v>
      </c>
      <c r="AK186" s="35" t="e">
        <f t="shared" si="78"/>
        <v>#DIV/0!</v>
      </c>
      <c r="AL186" s="35" t="e">
        <f t="shared" si="78"/>
        <v>#DIV/0!</v>
      </c>
      <c r="AM186" s="35" t="e">
        <f t="shared" si="78"/>
        <v>#DIV/0!</v>
      </c>
      <c r="AN186" s="35" t="e">
        <f t="shared" si="78"/>
        <v>#DIV/0!</v>
      </c>
      <c r="AO186" s="35" t="e">
        <f t="shared" si="78"/>
        <v>#DIV/0!</v>
      </c>
      <c r="AP186" s="33"/>
      <c r="AQ186" s="43">
        <f t="shared" si="75"/>
        <v>0</v>
      </c>
      <c r="AR186" s="43">
        <f t="shared" si="76"/>
        <v>0</v>
      </c>
    </row>
    <row r="187" spans="3:44" x14ac:dyDescent="0.3">
      <c r="C187" s="174" t="str">
        <f t="shared" si="73"/>
        <v/>
      </c>
      <c r="AD187" s="33">
        <v>183</v>
      </c>
      <c r="AE187" s="33">
        <f t="shared" si="74"/>
        <v>0</v>
      </c>
      <c r="AF187" s="33" t="str">
        <f t="shared" si="70"/>
        <v>OGW</v>
      </c>
      <c r="AG187" s="43" t="str">
        <f t="shared" si="69"/>
        <v>OGW</v>
      </c>
      <c r="AH187" s="33" t="e">
        <f t="shared" si="71"/>
        <v>#DIV/0!</v>
      </c>
      <c r="AI187" s="35" t="e">
        <f t="shared" si="78"/>
        <v>#DIV/0!</v>
      </c>
      <c r="AJ187" s="35" t="e">
        <f t="shared" si="78"/>
        <v>#DIV/0!</v>
      </c>
      <c r="AK187" s="35" t="e">
        <f t="shared" si="78"/>
        <v>#DIV/0!</v>
      </c>
      <c r="AL187" s="35" t="e">
        <f t="shared" si="78"/>
        <v>#DIV/0!</v>
      </c>
      <c r="AM187" s="35" t="e">
        <f t="shared" si="78"/>
        <v>#DIV/0!</v>
      </c>
      <c r="AN187" s="35" t="e">
        <f t="shared" si="78"/>
        <v>#DIV/0!</v>
      </c>
      <c r="AO187" s="35" t="e">
        <f t="shared" si="78"/>
        <v>#DIV/0!</v>
      </c>
      <c r="AP187" s="33"/>
      <c r="AQ187" s="43">
        <f t="shared" si="75"/>
        <v>0</v>
      </c>
      <c r="AR187" s="43">
        <f t="shared" si="76"/>
        <v>0</v>
      </c>
    </row>
    <row r="188" spans="3:44" x14ac:dyDescent="0.3">
      <c r="C188" s="174" t="str">
        <f t="shared" si="73"/>
        <v/>
      </c>
      <c r="AD188" s="33">
        <v>184</v>
      </c>
      <c r="AE188" s="33">
        <f t="shared" si="74"/>
        <v>0</v>
      </c>
      <c r="AF188" s="33" t="str">
        <f t="shared" si="70"/>
        <v>OGW</v>
      </c>
      <c r="AG188" s="43" t="str">
        <f t="shared" si="69"/>
        <v>OGW</v>
      </c>
      <c r="AH188" s="33" t="e">
        <f t="shared" si="71"/>
        <v>#DIV/0!</v>
      </c>
      <c r="AI188" s="35" t="e">
        <f t="shared" si="78"/>
        <v>#DIV/0!</v>
      </c>
      <c r="AJ188" s="35" t="e">
        <f t="shared" si="78"/>
        <v>#DIV/0!</v>
      </c>
      <c r="AK188" s="35" t="e">
        <f t="shared" si="78"/>
        <v>#DIV/0!</v>
      </c>
      <c r="AL188" s="35" t="e">
        <f t="shared" si="78"/>
        <v>#DIV/0!</v>
      </c>
      <c r="AM188" s="35" t="e">
        <f t="shared" si="78"/>
        <v>#DIV/0!</v>
      </c>
      <c r="AN188" s="35" t="e">
        <f t="shared" si="78"/>
        <v>#DIV/0!</v>
      </c>
      <c r="AO188" s="35" t="e">
        <f t="shared" si="78"/>
        <v>#DIV/0!</v>
      </c>
      <c r="AP188" s="33"/>
      <c r="AQ188" s="43">
        <f t="shared" si="75"/>
        <v>0</v>
      </c>
      <c r="AR188" s="43">
        <f t="shared" si="76"/>
        <v>0</v>
      </c>
    </row>
    <row r="189" spans="3:44" x14ac:dyDescent="0.3">
      <c r="C189" s="174" t="str">
        <f t="shared" si="73"/>
        <v/>
      </c>
      <c r="AD189" s="33">
        <v>185</v>
      </c>
      <c r="AE189" s="33">
        <f t="shared" si="74"/>
        <v>0</v>
      </c>
      <c r="AF189" s="33" t="str">
        <f t="shared" si="70"/>
        <v>OGW</v>
      </c>
      <c r="AG189" s="43" t="str">
        <f t="shared" si="69"/>
        <v>OGW</v>
      </c>
      <c r="AH189" s="33" t="e">
        <f t="shared" si="71"/>
        <v>#DIV/0!</v>
      </c>
      <c r="AI189" s="35" t="e">
        <f t="shared" si="78"/>
        <v>#DIV/0!</v>
      </c>
      <c r="AJ189" s="35" t="e">
        <f t="shared" si="78"/>
        <v>#DIV/0!</v>
      </c>
      <c r="AK189" s="35" t="e">
        <f t="shared" si="78"/>
        <v>#DIV/0!</v>
      </c>
      <c r="AL189" s="35" t="e">
        <f t="shared" si="78"/>
        <v>#DIV/0!</v>
      </c>
      <c r="AM189" s="35" t="e">
        <f t="shared" si="78"/>
        <v>#DIV/0!</v>
      </c>
      <c r="AN189" s="35" t="e">
        <f t="shared" si="78"/>
        <v>#DIV/0!</v>
      </c>
      <c r="AO189" s="35" t="e">
        <f t="shared" si="78"/>
        <v>#DIV/0!</v>
      </c>
      <c r="AP189" s="33"/>
      <c r="AQ189" s="43">
        <f t="shared" si="75"/>
        <v>0</v>
      </c>
      <c r="AR189" s="43">
        <f t="shared" si="76"/>
        <v>0</v>
      </c>
    </row>
    <row r="190" spans="3:44" x14ac:dyDescent="0.3">
      <c r="C190" s="174" t="str">
        <f t="shared" si="73"/>
        <v/>
      </c>
      <c r="AD190" s="33">
        <v>186</v>
      </c>
      <c r="AE190" s="33">
        <f t="shared" si="74"/>
        <v>0</v>
      </c>
      <c r="AF190" s="33" t="str">
        <f t="shared" si="70"/>
        <v>OGW</v>
      </c>
      <c r="AG190" s="43" t="str">
        <f t="shared" si="69"/>
        <v>OGW</v>
      </c>
      <c r="AH190" s="33" t="e">
        <f t="shared" si="71"/>
        <v>#DIV/0!</v>
      </c>
      <c r="AI190" s="35" t="e">
        <f t="shared" si="78"/>
        <v>#DIV/0!</v>
      </c>
      <c r="AJ190" s="35" t="e">
        <f t="shared" si="78"/>
        <v>#DIV/0!</v>
      </c>
      <c r="AK190" s="35" t="e">
        <f t="shared" si="78"/>
        <v>#DIV/0!</v>
      </c>
      <c r="AL190" s="35" t="e">
        <f t="shared" si="78"/>
        <v>#DIV/0!</v>
      </c>
      <c r="AM190" s="35" t="e">
        <f t="shared" si="78"/>
        <v>#DIV/0!</v>
      </c>
      <c r="AN190" s="35" t="e">
        <f t="shared" si="78"/>
        <v>#DIV/0!</v>
      </c>
      <c r="AO190" s="35" t="e">
        <f t="shared" si="78"/>
        <v>#DIV/0!</v>
      </c>
      <c r="AP190" s="33"/>
      <c r="AQ190" s="43">
        <f t="shared" si="75"/>
        <v>0</v>
      </c>
      <c r="AR190" s="43">
        <f t="shared" si="76"/>
        <v>0</v>
      </c>
    </row>
    <row r="191" spans="3:44" x14ac:dyDescent="0.3">
      <c r="C191" s="174" t="str">
        <f t="shared" si="73"/>
        <v/>
      </c>
      <c r="AD191" s="33">
        <v>187</v>
      </c>
      <c r="AE191" s="33">
        <f t="shared" si="74"/>
        <v>0</v>
      </c>
      <c r="AF191" s="33" t="str">
        <f t="shared" si="70"/>
        <v>OGW</v>
      </c>
      <c r="AG191" s="43" t="str">
        <f t="shared" si="69"/>
        <v>OGW</v>
      </c>
      <c r="AH191" s="33" t="e">
        <f t="shared" si="71"/>
        <v>#DIV/0!</v>
      </c>
      <c r="AI191" s="35" t="e">
        <f t="shared" si="78"/>
        <v>#DIV/0!</v>
      </c>
      <c r="AJ191" s="35" t="e">
        <f t="shared" si="78"/>
        <v>#DIV/0!</v>
      </c>
      <c r="AK191" s="35" t="e">
        <f t="shared" si="78"/>
        <v>#DIV/0!</v>
      </c>
      <c r="AL191" s="35" t="e">
        <f t="shared" si="78"/>
        <v>#DIV/0!</v>
      </c>
      <c r="AM191" s="35" t="e">
        <f t="shared" si="78"/>
        <v>#DIV/0!</v>
      </c>
      <c r="AN191" s="35" t="e">
        <f t="shared" si="78"/>
        <v>#DIV/0!</v>
      </c>
      <c r="AO191" s="35" t="e">
        <f t="shared" si="78"/>
        <v>#DIV/0!</v>
      </c>
      <c r="AP191" s="33"/>
      <c r="AQ191" s="43">
        <f t="shared" si="75"/>
        <v>0</v>
      </c>
      <c r="AR191" s="43">
        <f t="shared" si="76"/>
        <v>0</v>
      </c>
    </row>
    <row r="192" spans="3:44" x14ac:dyDescent="0.3">
      <c r="C192" s="174" t="str">
        <f t="shared" si="73"/>
        <v/>
      </c>
      <c r="AD192" s="33">
        <v>188</v>
      </c>
      <c r="AE192" s="33">
        <f t="shared" si="74"/>
        <v>0</v>
      </c>
      <c r="AF192" s="33" t="str">
        <f t="shared" si="70"/>
        <v>OGW</v>
      </c>
      <c r="AG192" s="43" t="str">
        <f t="shared" si="69"/>
        <v>OGW</v>
      </c>
      <c r="AH192" s="33" t="e">
        <f t="shared" si="71"/>
        <v>#DIV/0!</v>
      </c>
      <c r="AI192" s="35" t="e">
        <f t="shared" si="78"/>
        <v>#DIV/0!</v>
      </c>
      <c r="AJ192" s="35" t="e">
        <f t="shared" si="78"/>
        <v>#DIV/0!</v>
      </c>
      <c r="AK192" s="35" t="e">
        <f t="shared" si="78"/>
        <v>#DIV/0!</v>
      </c>
      <c r="AL192" s="35" t="e">
        <f t="shared" si="78"/>
        <v>#DIV/0!</v>
      </c>
      <c r="AM192" s="35" t="e">
        <f t="shared" si="78"/>
        <v>#DIV/0!</v>
      </c>
      <c r="AN192" s="35" t="e">
        <f t="shared" si="78"/>
        <v>#DIV/0!</v>
      </c>
      <c r="AO192" s="35" t="e">
        <f t="shared" si="78"/>
        <v>#DIV/0!</v>
      </c>
      <c r="AP192" s="33"/>
      <c r="AQ192" s="43">
        <f t="shared" si="75"/>
        <v>0</v>
      </c>
      <c r="AR192" s="43">
        <f t="shared" si="76"/>
        <v>0</v>
      </c>
    </row>
    <row r="193" spans="3:44" x14ac:dyDescent="0.3">
      <c r="C193" s="174" t="str">
        <f t="shared" si="73"/>
        <v/>
      </c>
      <c r="AD193" s="33">
        <v>189</v>
      </c>
      <c r="AE193" s="33">
        <f t="shared" si="74"/>
        <v>0</v>
      </c>
      <c r="AF193" s="33" t="str">
        <f t="shared" si="70"/>
        <v>OGW</v>
      </c>
      <c r="AG193" s="43" t="str">
        <f t="shared" si="69"/>
        <v>OGW</v>
      </c>
      <c r="AH193" s="33" t="e">
        <f t="shared" si="71"/>
        <v>#DIV/0!</v>
      </c>
      <c r="AI193" s="35" t="e">
        <f t="shared" si="78"/>
        <v>#DIV/0!</v>
      </c>
      <c r="AJ193" s="35" t="e">
        <f t="shared" si="78"/>
        <v>#DIV/0!</v>
      </c>
      <c r="AK193" s="35" t="e">
        <f t="shared" si="78"/>
        <v>#DIV/0!</v>
      </c>
      <c r="AL193" s="35" t="e">
        <f t="shared" si="78"/>
        <v>#DIV/0!</v>
      </c>
      <c r="AM193" s="35" t="e">
        <f t="shared" si="78"/>
        <v>#DIV/0!</v>
      </c>
      <c r="AN193" s="35" t="e">
        <f t="shared" si="78"/>
        <v>#DIV/0!</v>
      </c>
      <c r="AO193" s="35" t="e">
        <f t="shared" si="78"/>
        <v>#DIV/0!</v>
      </c>
      <c r="AP193" s="33"/>
      <c r="AQ193" s="43">
        <f t="shared" si="75"/>
        <v>0</v>
      </c>
      <c r="AR193" s="43">
        <f t="shared" si="76"/>
        <v>0</v>
      </c>
    </row>
    <row r="194" spans="3:44" x14ac:dyDescent="0.3">
      <c r="C194" s="174" t="str">
        <f t="shared" si="73"/>
        <v/>
      </c>
      <c r="AD194" s="33">
        <v>190</v>
      </c>
      <c r="AE194" s="33">
        <f t="shared" si="74"/>
        <v>0</v>
      </c>
      <c r="AF194" s="33" t="str">
        <f t="shared" si="70"/>
        <v>OGW</v>
      </c>
      <c r="AG194" s="43" t="str">
        <f t="shared" si="69"/>
        <v>OGW</v>
      </c>
      <c r="AH194" s="33" t="e">
        <f t="shared" si="71"/>
        <v>#DIV/0!</v>
      </c>
      <c r="AI194" s="35" t="e">
        <f t="shared" si="78"/>
        <v>#DIV/0!</v>
      </c>
      <c r="AJ194" s="35" t="e">
        <f t="shared" si="78"/>
        <v>#DIV/0!</v>
      </c>
      <c r="AK194" s="35" t="e">
        <f t="shared" si="78"/>
        <v>#DIV/0!</v>
      </c>
      <c r="AL194" s="35" t="e">
        <f t="shared" si="78"/>
        <v>#DIV/0!</v>
      </c>
      <c r="AM194" s="35" t="e">
        <f t="shared" si="78"/>
        <v>#DIV/0!</v>
      </c>
      <c r="AN194" s="35" t="e">
        <f t="shared" si="78"/>
        <v>#DIV/0!</v>
      </c>
      <c r="AO194" s="35" t="e">
        <f t="shared" si="78"/>
        <v>#DIV/0!</v>
      </c>
      <c r="AP194" s="33"/>
      <c r="AQ194" s="43">
        <f t="shared" si="75"/>
        <v>0</v>
      </c>
      <c r="AR194" s="43">
        <f t="shared" si="76"/>
        <v>0</v>
      </c>
    </row>
    <row r="195" spans="3:44" x14ac:dyDescent="0.3">
      <c r="C195" s="174" t="str">
        <f t="shared" si="73"/>
        <v/>
      </c>
      <c r="AD195" s="33">
        <v>191</v>
      </c>
      <c r="AE195" s="33">
        <f t="shared" si="74"/>
        <v>0</v>
      </c>
      <c r="AF195" s="33" t="str">
        <f t="shared" si="70"/>
        <v>OGW</v>
      </c>
      <c r="AG195" s="43" t="str">
        <f t="shared" si="69"/>
        <v>OGW</v>
      </c>
      <c r="AH195" s="33" t="e">
        <f t="shared" si="71"/>
        <v>#DIV/0!</v>
      </c>
      <c r="AI195" s="35" t="e">
        <f t="shared" si="78"/>
        <v>#DIV/0!</v>
      </c>
      <c r="AJ195" s="35" t="e">
        <f t="shared" si="78"/>
        <v>#DIV/0!</v>
      </c>
      <c r="AK195" s="35" t="e">
        <f t="shared" si="78"/>
        <v>#DIV/0!</v>
      </c>
      <c r="AL195" s="35" t="e">
        <f t="shared" si="78"/>
        <v>#DIV/0!</v>
      </c>
      <c r="AM195" s="35" t="e">
        <f t="shared" si="78"/>
        <v>#DIV/0!</v>
      </c>
      <c r="AN195" s="35" t="e">
        <f t="shared" si="78"/>
        <v>#DIV/0!</v>
      </c>
      <c r="AO195" s="35" t="e">
        <f t="shared" si="78"/>
        <v>#DIV/0!</v>
      </c>
      <c r="AP195" s="33"/>
      <c r="AQ195" s="43">
        <f t="shared" si="75"/>
        <v>0</v>
      </c>
      <c r="AR195" s="43">
        <f t="shared" si="76"/>
        <v>0</v>
      </c>
    </row>
    <row r="196" spans="3:44" x14ac:dyDescent="0.3">
      <c r="C196" s="174" t="str">
        <f t="shared" si="73"/>
        <v/>
      </c>
      <c r="AD196" s="33">
        <v>192</v>
      </c>
      <c r="AE196" s="33">
        <f t="shared" si="74"/>
        <v>0</v>
      </c>
      <c r="AF196" s="33" t="str">
        <f t="shared" si="70"/>
        <v>OGW</v>
      </c>
      <c r="AG196" s="43" t="str">
        <f t="shared" si="69"/>
        <v>OGW</v>
      </c>
      <c r="AH196" s="33" t="e">
        <f t="shared" si="71"/>
        <v>#DIV/0!</v>
      </c>
      <c r="AI196" s="35" t="e">
        <f t="shared" si="78"/>
        <v>#DIV/0!</v>
      </c>
      <c r="AJ196" s="35" t="e">
        <f t="shared" si="78"/>
        <v>#DIV/0!</v>
      </c>
      <c r="AK196" s="35" t="e">
        <f t="shared" si="78"/>
        <v>#DIV/0!</v>
      </c>
      <c r="AL196" s="35" t="e">
        <f t="shared" si="78"/>
        <v>#DIV/0!</v>
      </c>
      <c r="AM196" s="35" t="e">
        <f t="shared" si="78"/>
        <v>#DIV/0!</v>
      </c>
      <c r="AN196" s="35" t="e">
        <f t="shared" si="78"/>
        <v>#DIV/0!</v>
      </c>
      <c r="AO196" s="35" t="e">
        <f t="shared" si="78"/>
        <v>#DIV/0!</v>
      </c>
      <c r="AP196" s="33"/>
      <c r="AQ196" s="43">
        <f t="shared" si="75"/>
        <v>0</v>
      </c>
      <c r="AR196" s="43">
        <f t="shared" si="76"/>
        <v>0</v>
      </c>
    </row>
    <row r="197" spans="3:44" x14ac:dyDescent="0.3">
      <c r="C197" s="174" t="str">
        <f t="shared" si="73"/>
        <v/>
      </c>
      <c r="AD197" s="33">
        <v>193</v>
      </c>
      <c r="AE197" s="33">
        <f t="shared" ref="AE197:AE204" si="79">IF(($P$21&gt;AD197),AD197,$P$21)</f>
        <v>0</v>
      </c>
      <c r="AF197" s="33" t="str">
        <f t="shared" si="70"/>
        <v>OGW</v>
      </c>
      <c r="AG197" s="43" t="str">
        <f t="shared" si="69"/>
        <v>OGW</v>
      </c>
      <c r="AH197" s="33" t="e">
        <f t="shared" si="71"/>
        <v>#DIV/0!</v>
      </c>
      <c r="AI197" s="35" t="e">
        <f t="shared" si="78"/>
        <v>#DIV/0!</v>
      </c>
      <c r="AJ197" s="35" t="e">
        <f t="shared" si="78"/>
        <v>#DIV/0!</v>
      </c>
      <c r="AK197" s="35" t="e">
        <f t="shared" si="78"/>
        <v>#DIV/0!</v>
      </c>
      <c r="AL197" s="35" t="e">
        <f t="shared" si="78"/>
        <v>#DIV/0!</v>
      </c>
      <c r="AM197" s="35" t="e">
        <f t="shared" si="78"/>
        <v>#DIV/0!</v>
      </c>
      <c r="AN197" s="35" t="e">
        <f t="shared" si="78"/>
        <v>#DIV/0!</v>
      </c>
      <c r="AO197" s="35" t="e">
        <f t="shared" si="78"/>
        <v>#DIV/0!</v>
      </c>
      <c r="AP197" s="33"/>
      <c r="AQ197" s="43">
        <f t="shared" ref="AQ197:AQ204" si="80">IF(AND(C197&lt;&gt;"",C197&lt;UGW),1,0)</f>
        <v>0</v>
      </c>
      <c r="AR197" s="43">
        <f t="shared" ref="AR197:AR204" si="81">IF(AND(C197&lt;&gt;"",C197&gt;OGW),1,0)</f>
        <v>0</v>
      </c>
    </row>
    <row r="198" spans="3:44" x14ac:dyDescent="0.3">
      <c r="C198" s="174" t="str">
        <f t="shared" si="73"/>
        <v/>
      </c>
      <c r="AD198" s="33">
        <v>194</v>
      </c>
      <c r="AE198" s="33">
        <f t="shared" si="79"/>
        <v>0</v>
      </c>
      <c r="AF198" s="33" t="str">
        <f t="shared" si="70"/>
        <v>OGW</v>
      </c>
      <c r="AG198" s="43" t="str">
        <f t="shared" si="69"/>
        <v>OGW</v>
      </c>
      <c r="AH198" s="33" t="e">
        <f t="shared" si="71"/>
        <v>#DIV/0!</v>
      </c>
      <c r="AI198" s="35" t="e">
        <f t="shared" ref="AI198:AO204" si="82">AI197</f>
        <v>#DIV/0!</v>
      </c>
      <c r="AJ198" s="35" t="e">
        <f t="shared" si="82"/>
        <v>#DIV/0!</v>
      </c>
      <c r="AK198" s="35" t="e">
        <f t="shared" si="82"/>
        <v>#DIV/0!</v>
      </c>
      <c r="AL198" s="35" t="e">
        <f t="shared" si="82"/>
        <v>#DIV/0!</v>
      </c>
      <c r="AM198" s="35" t="e">
        <f t="shared" si="82"/>
        <v>#DIV/0!</v>
      </c>
      <c r="AN198" s="35" t="e">
        <f t="shared" si="82"/>
        <v>#DIV/0!</v>
      </c>
      <c r="AO198" s="35" t="e">
        <f t="shared" si="82"/>
        <v>#DIV/0!</v>
      </c>
      <c r="AP198" s="33"/>
      <c r="AQ198" s="43">
        <f t="shared" si="80"/>
        <v>0</v>
      </c>
      <c r="AR198" s="43">
        <f t="shared" si="81"/>
        <v>0</v>
      </c>
    </row>
    <row r="199" spans="3:44" x14ac:dyDescent="0.3">
      <c r="C199" s="174" t="str">
        <f t="shared" si="73"/>
        <v/>
      </c>
      <c r="AD199" s="33">
        <v>195</v>
      </c>
      <c r="AE199" s="33">
        <f t="shared" si="79"/>
        <v>0</v>
      </c>
      <c r="AF199" s="33" t="str">
        <f t="shared" si="70"/>
        <v>OGW</v>
      </c>
      <c r="AG199" s="43" t="str">
        <f t="shared" ref="AG199:AG204" si="83">IF(C199&lt;&gt;"",$P$19,AG198)</f>
        <v>OGW</v>
      </c>
      <c r="AH199" s="33" t="e">
        <f t="shared" si="71"/>
        <v>#DIV/0!</v>
      </c>
      <c r="AI199" s="35" t="e">
        <f t="shared" si="82"/>
        <v>#DIV/0!</v>
      </c>
      <c r="AJ199" s="35" t="e">
        <f t="shared" si="82"/>
        <v>#DIV/0!</v>
      </c>
      <c r="AK199" s="35" t="e">
        <f t="shared" si="82"/>
        <v>#DIV/0!</v>
      </c>
      <c r="AL199" s="35" t="e">
        <f t="shared" si="82"/>
        <v>#DIV/0!</v>
      </c>
      <c r="AM199" s="35" t="e">
        <f t="shared" si="82"/>
        <v>#DIV/0!</v>
      </c>
      <c r="AN199" s="35" t="e">
        <f t="shared" si="82"/>
        <v>#DIV/0!</v>
      </c>
      <c r="AO199" s="35" t="e">
        <f t="shared" si="82"/>
        <v>#DIV/0!</v>
      </c>
      <c r="AP199" s="33"/>
      <c r="AQ199" s="43">
        <f t="shared" si="80"/>
        <v>0</v>
      </c>
      <c r="AR199" s="43">
        <f t="shared" si="81"/>
        <v>0</v>
      </c>
    </row>
    <row r="200" spans="3:44" x14ac:dyDescent="0.3">
      <c r="C200" s="174" t="str">
        <f t="shared" si="73"/>
        <v/>
      </c>
      <c r="AD200" s="33">
        <v>196</v>
      </c>
      <c r="AE200" s="33">
        <f t="shared" si="79"/>
        <v>0</v>
      </c>
      <c r="AF200" s="33" t="str">
        <f>IF(C200&lt;&gt;"",C200,AF199)</f>
        <v>OGW</v>
      </c>
      <c r="AG200" s="43" t="str">
        <f t="shared" si="83"/>
        <v>OGW</v>
      </c>
      <c r="AH200" s="33" t="e">
        <f>IF(C200&lt;&gt;"",$P$18,AH199)</f>
        <v>#DIV/0!</v>
      </c>
      <c r="AI200" s="35" t="e">
        <f t="shared" si="82"/>
        <v>#DIV/0!</v>
      </c>
      <c r="AJ200" s="35" t="e">
        <f t="shared" si="82"/>
        <v>#DIV/0!</v>
      </c>
      <c r="AK200" s="35" t="e">
        <f t="shared" si="82"/>
        <v>#DIV/0!</v>
      </c>
      <c r="AL200" s="35" t="e">
        <f t="shared" si="82"/>
        <v>#DIV/0!</v>
      </c>
      <c r="AM200" s="35" t="e">
        <f t="shared" si="82"/>
        <v>#DIV/0!</v>
      </c>
      <c r="AN200" s="35" t="e">
        <f t="shared" si="82"/>
        <v>#DIV/0!</v>
      </c>
      <c r="AO200" s="35" t="e">
        <f t="shared" si="82"/>
        <v>#DIV/0!</v>
      </c>
      <c r="AP200" s="33"/>
      <c r="AQ200" s="43">
        <f t="shared" si="80"/>
        <v>0</v>
      </c>
      <c r="AR200" s="43">
        <f t="shared" si="81"/>
        <v>0</v>
      </c>
    </row>
    <row r="201" spans="3:44" x14ac:dyDescent="0.3">
      <c r="C201" s="174" t="str">
        <f t="shared" si="73"/>
        <v/>
      </c>
      <c r="AD201" s="33">
        <v>197</v>
      </c>
      <c r="AE201" s="33">
        <f t="shared" si="79"/>
        <v>0</v>
      </c>
      <c r="AF201" s="33" t="str">
        <f>IF(C201&lt;&gt;"",C201,AF200)</f>
        <v>OGW</v>
      </c>
      <c r="AG201" s="43" t="str">
        <f t="shared" si="83"/>
        <v>OGW</v>
      </c>
      <c r="AH201" s="33" t="e">
        <f>IF(C201&lt;&gt;"",$P$18,AH200)</f>
        <v>#DIV/0!</v>
      </c>
      <c r="AI201" s="35" t="e">
        <f t="shared" si="82"/>
        <v>#DIV/0!</v>
      </c>
      <c r="AJ201" s="35" t="e">
        <f t="shared" si="82"/>
        <v>#DIV/0!</v>
      </c>
      <c r="AK201" s="35" t="e">
        <f t="shared" si="82"/>
        <v>#DIV/0!</v>
      </c>
      <c r="AL201" s="35" t="e">
        <f t="shared" si="82"/>
        <v>#DIV/0!</v>
      </c>
      <c r="AM201" s="35" t="e">
        <f t="shared" si="82"/>
        <v>#DIV/0!</v>
      </c>
      <c r="AN201" s="35" t="e">
        <f t="shared" si="82"/>
        <v>#DIV/0!</v>
      </c>
      <c r="AO201" s="35" t="e">
        <f t="shared" si="82"/>
        <v>#DIV/0!</v>
      </c>
      <c r="AP201" s="33"/>
      <c r="AQ201" s="43">
        <f t="shared" si="80"/>
        <v>0</v>
      </c>
      <c r="AR201" s="43">
        <f t="shared" si="81"/>
        <v>0</v>
      </c>
    </row>
    <row r="202" spans="3:44" x14ac:dyDescent="0.3">
      <c r="C202" s="174" t="str">
        <f t="shared" si="73"/>
        <v/>
      </c>
      <c r="AD202" s="33">
        <v>198</v>
      </c>
      <c r="AE202" s="33">
        <f t="shared" si="79"/>
        <v>0</v>
      </c>
      <c r="AF202" s="33" t="str">
        <f>IF(C202&lt;&gt;"",C202,AF201)</f>
        <v>OGW</v>
      </c>
      <c r="AG202" s="43" t="str">
        <f t="shared" si="83"/>
        <v>OGW</v>
      </c>
      <c r="AH202" s="33" t="e">
        <f>IF(C202&lt;&gt;"",$P$18,AH201)</f>
        <v>#DIV/0!</v>
      </c>
      <c r="AI202" s="35" t="e">
        <f t="shared" si="82"/>
        <v>#DIV/0!</v>
      </c>
      <c r="AJ202" s="35" t="e">
        <f t="shared" si="82"/>
        <v>#DIV/0!</v>
      </c>
      <c r="AK202" s="35" t="e">
        <f t="shared" si="82"/>
        <v>#DIV/0!</v>
      </c>
      <c r="AL202" s="35" t="e">
        <f t="shared" si="82"/>
        <v>#DIV/0!</v>
      </c>
      <c r="AM202" s="35" t="e">
        <f t="shared" si="82"/>
        <v>#DIV/0!</v>
      </c>
      <c r="AN202" s="35" t="e">
        <f t="shared" si="82"/>
        <v>#DIV/0!</v>
      </c>
      <c r="AO202" s="35" t="e">
        <f t="shared" si="82"/>
        <v>#DIV/0!</v>
      </c>
      <c r="AP202" s="33"/>
      <c r="AQ202" s="43">
        <f t="shared" si="80"/>
        <v>0</v>
      </c>
      <c r="AR202" s="43">
        <f t="shared" si="81"/>
        <v>0</v>
      </c>
    </row>
    <row r="203" spans="3:44" x14ac:dyDescent="0.3">
      <c r="C203" s="174" t="str">
        <f t="shared" si="73"/>
        <v/>
      </c>
      <c r="AD203" s="33">
        <v>199</v>
      </c>
      <c r="AE203" s="33">
        <f t="shared" si="79"/>
        <v>0</v>
      </c>
      <c r="AF203" s="33" t="str">
        <f>IF(C203&lt;&gt;"",C203,AF202)</f>
        <v>OGW</v>
      </c>
      <c r="AG203" s="43" t="str">
        <f t="shared" si="83"/>
        <v>OGW</v>
      </c>
      <c r="AH203" s="33" t="e">
        <f>IF(C203&lt;&gt;"",$P$18,AH202)</f>
        <v>#DIV/0!</v>
      </c>
      <c r="AI203" s="35" t="e">
        <f t="shared" si="82"/>
        <v>#DIV/0!</v>
      </c>
      <c r="AJ203" s="35" t="e">
        <f t="shared" si="82"/>
        <v>#DIV/0!</v>
      </c>
      <c r="AK203" s="35" t="e">
        <f t="shared" si="82"/>
        <v>#DIV/0!</v>
      </c>
      <c r="AL203" s="35" t="e">
        <f t="shared" si="82"/>
        <v>#DIV/0!</v>
      </c>
      <c r="AM203" s="35" t="e">
        <f t="shared" si="82"/>
        <v>#DIV/0!</v>
      </c>
      <c r="AN203" s="35" t="e">
        <f t="shared" si="82"/>
        <v>#DIV/0!</v>
      </c>
      <c r="AO203" s="35" t="e">
        <f t="shared" si="82"/>
        <v>#DIV/0!</v>
      </c>
      <c r="AP203" s="33"/>
      <c r="AQ203" s="43">
        <f t="shared" si="80"/>
        <v>0</v>
      </c>
      <c r="AR203" s="43">
        <f t="shared" si="81"/>
        <v>0</v>
      </c>
    </row>
    <row r="204" spans="3:44" x14ac:dyDescent="0.3">
      <c r="C204" s="174" t="str">
        <f t="shared" si="73"/>
        <v/>
      </c>
      <c r="AD204" s="33">
        <v>200</v>
      </c>
      <c r="AE204" s="33">
        <f t="shared" si="79"/>
        <v>0</v>
      </c>
      <c r="AF204" s="33" t="str">
        <f>IF(C204&lt;&gt;"",C204,AF203)</f>
        <v>OGW</v>
      </c>
      <c r="AG204" s="43" t="str">
        <f t="shared" si="83"/>
        <v>OGW</v>
      </c>
      <c r="AH204" s="33" t="e">
        <f>IF(C204&lt;&gt;"",$P$18,AH203)</f>
        <v>#DIV/0!</v>
      </c>
      <c r="AI204" s="35" t="e">
        <f t="shared" si="82"/>
        <v>#DIV/0!</v>
      </c>
      <c r="AJ204" s="35" t="e">
        <f t="shared" si="82"/>
        <v>#DIV/0!</v>
      </c>
      <c r="AK204" s="35" t="e">
        <f t="shared" si="82"/>
        <v>#DIV/0!</v>
      </c>
      <c r="AL204" s="35" t="e">
        <f t="shared" si="82"/>
        <v>#DIV/0!</v>
      </c>
      <c r="AM204" s="35" t="e">
        <f t="shared" si="82"/>
        <v>#DIV/0!</v>
      </c>
      <c r="AN204" s="35" t="e">
        <f t="shared" si="82"/>
        <v>#DIV/0!</v>
      </c>
      <c r="AO204" s="35" t="e">
        <f t="shared" si="82"/>
        <v>#DIV/0!</v>
      </c>
      <c r="AP204" s="33"/>
      <c r="AQ204" s="43">
        <f t="shared" si="80"/>
        <v>0</v>
      </c>
      <c r="AR204" s="43">
        <f t="shared" si="81"/>
        <v>0</v>
      </c>
    </row>
    <row r="205" spans="3:44" x14ac:dyDescent="0.3">
      <c r="AP205" s="15" t="s">
        <v>52</v>
      </c>
      <c r="AQ205" s="15">
        <f>SUM(AQ5:AQ204)</f>
        <v>0</v>
      </c>
      <c r="AR205" s="15">
        <f>SUM(AR5:AR204)</f>
        <v>0</v>
      </c>
    </row>
  </sheetData>
  <customSheetViews>
    <customSheetView guid="{CAFC3889-2B2E-4ACE-8E07-6B5287B49573}" scale="55" fitToPage="1">
      <selection activeCell="V4" sqref="V4"/>
      <pageMargins left="0" right="0" top="0" bottom="0" header="0" footer="0"/>
      <printOptions horizontalCentered="1" verticalCentered="1"/>
      <pageSetup paperSize="9" scale="43" orientation="landscape" r:id="rId1"/>
    </customSheetView>
    <customSheetView guid="{DD55A657-ECA8-4269-A774-673A49CE864D}" scale="55" fitToPage="1">
      <selection activeCell="F26" sqref="F26"/>
      <pageMargins left="0" right="0" top="0" bottom="0" header="0" footer="0"/>
      <printOptions horizontalCentered="1" verticalCentered="1"/>
      <pageSetup paperSize="9" scale="43" orientation="landscape" r:id="rId2"/>
    </customSheetView>
  </customSheetViews>
  <mergeCells count="17">
    <mergeCell ref="N4:P4"/>
    <mergeCell ref="X4:Y4"/>
    <mergeCell ref="O12:P12"/>
    <mergeCell ref="AV23:AX23"/>
    <mergeCell ref="P58:Y58"/>
    <mergeCell ref="P76:Y76"/>
    <mergeCell ref="N5:P5"/>
    <mergeCell ref="X5:Y5"/>
    <mergeCell ref="O8:P8"/>
    <mergeCell ref="O9:P9"/>
    <mergeCell ref="O10:P10"/>
    <mergeCell ref="O11:P11"/>
    <mergeCell ref="B2:M2"/>
    <mergeCell ref="N2:U2"/>
    <mergeCell ref="V2:Y2"/>
    <mergeCell ref="AD2:AR2"/>
    <mergeCell ref="AU2:BM2"/>
  </mergeCells>
  <hyperlinks>
    <hyperlink ref="V2:Y2" r:id="rId3" display="http://61743.seu1.cleverreach.com/f/61743-125402/" xr:uid="{00000000-0004-0000-0100-000000000000}"/>
    <hyperlink ref="B2" r:id="rId4" xr:uid="{00000000-0004-0000-0100-000001000000}"/>
  </hyperlinks>
  <printOptions horizontalCentered="1" verticalCentered="1"/>
  <pageMargins left="0" right="0" top="0" bottom="0" header="0" footer="0"/>
  <pageSetup paperSize="9" orientation="landscape" r:id="rId5"/>
  <headerFooter>
    <oddFooter>&amp;LInternal: All rights reserved. Distribution within DRÄXLMAIER Group, customer and partners.&amp;C_x000D_&amp;1#&amp;"Arial"&amp;9&amp;K000000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34"/>
  <sheetViews>
    <sheetView topLeftCell="C1" workbookViewId="0">
      <selection activeCell="C7" sqref="C7"/>
    </sheetView>
  </sheetViews>
  <sheetFormatPr defaultColWidth="11.5703125" defaultRowHeight="15" x14ac:dyDescent="0.25"/>
  <cols>
    <col min="1" max="1" width="2.7109375" customWidth="1"/>
    <col min="2" max="2" width="11.5703125" style="191"/>
    <col min="3" max="3" width="145" customWidth="1"/>
    <col min="4" max="4" width="16.42578125" customWidth="1"/>
  </cols>
  <sheetData>
    <row r="1" spans="2:4" ht="10.15" customHeight="1" thickBot="1" x14ac:dyDescent="0.3"/>
    <row r="2" spans="2:4" ht="15.75" thickBot="1" x14ac:dyDescent="0.3">
      <c r="B2" s="192" t="s">
        <v>170</v>
      </c>
      <c r="C2" s="185" t="s">
        <v>171</v>
      </c>
      <c r="D2" s="184" t="s">
        <v>172</v>
      </c>
    </row>
    <row r="3" spans="2:4" x14ac:dyDescent="0.25">
      <c r="B3" s="189" t="s">
        <v>173</v>
      </c>
      <c r="C3" s="190" t="s">
        <v>175</v>
      </c>
      <c r="D3" s="196" t="s">
        <v>174</v>
      </c>
    </row>
    <row r="4" spans="2:4" x14ac:dyDescent="0.25">
      <c r="B4" s="189" t="s">
        <v>177</v>
      </c>
      <c r="C4" s="186" t="s">
        <v>178</v>
      </c>
      <c r="D4" s="196"/>
    </row>
    <row r="5" spans="2:4" x14ac:dyDescent="0.25">
      <c r="B5" s="189" t="s">
        <v>179</v>
      </c>
      <c r="C5" s="186" t="s">
        <v>180</v>
      </c>
      <c r="D5" s="196" t="s">
        <v>181</v>
      </c>
    </row>
    <row r="6" spans="2:4" x14ac:dyDescent="0.25">
      <c r="B6" s="189" t="s">
        <v>183</v>
      </c>
      <c r="C6" s="186" t="s">
        <v>184</v>
      </c>
      <c r="D6" s="196" t="s">
        <v>181</v>
      </c>
    </row>
    <row r="7" spans="2:4" x14ac:dyDescent="0.25">
      <c r="B7" s="189" t="s">
        <v>187</v>
      </c>
      <c r="C7" s="186" t="s">
        <v>189</v>
      </c>
      <c r="D7" s="196"/>
    </row>
    <row r="8" spans="2:4" x14ac:dyDescent="0.25">
      <c r="B8" s="189"/>
      <c r="C8" s="186"/>
      <c r="D8" s="196"/>
    </row>
    <row r="9" spans="2:4" x14ac:dyDescent="0.25">
      <c r="B9" s="189"/>
      <c r="C9" s="186"/>
      <c r="D9" s="196"/>
    </row>
    <row r="10" spans="2:4" x14ac:dyDescent="0.25">
      <c r="B10" s="189"/>
      <c r="C10" s="186"/>
      <c r="D10" s="196"/>
    </row>
    <row r="11" spans="2:4" x14ac:dyDescent="0.25">
      <c r="B11" s="189"/>
      <c r="C11" s="186"/>
      <c r="D11" s="196"/>
    </row>
    <row r="12" spans="2:4" x14ac:dyDescent="0.25">
      <c r="B12" s="189"/>
      <c r="C12" s="186"/>
      <c r="D12" s="196"/>
    </row>
    <row r="13" spans="2:4" x14ac:dyDescent="0.25">
      <c r="B13" s="189"/>
      <c r="C13" s="186"/>
      <c r="D13" s="196"/>
    </row>
    <row r="14" spans="2:4" x14ac:dyDescent="0.25">
      <c r="B14" s="193"/>
      <c r="C14" s="187"/>
      <c r="D14" s="197"/>
    </row>
    <row r="15" spans="2:4" x14ac:dyDescent="0.25">
      <c r="B15" s="194"/>
      <c r="C15" s="188"/>
      <c r="D15" s="194"/>
    </row>
    <row r="16" spans="2:4" x14ac:dyDescent="0.25">
      <c r="B16" s="194"/>
      <c r="C16" s="188"/>
      <c r="D16" s="194"/>
    </row>
    <row r="17" spans="2:4" x14ac:dyDescent="0.25">
      <c r="B17" s="194"/>
      <c r="C17" s="188"/>
      <c r="D17" s="194"/>
    </row>
    <row r="18" spans="2:4" x14ac:dyDescent="0.25">
      <c r="B18" s="194"/>
      <c r="C18" s="188"/>
      <c r="D18" s="194"/>
    </row>
    <row r="19" spans="2:4" x14ac:dyDescent="0.25">
      <c r="B19" s="194"/>
      <c r="C19" s="188"/>
      <c r="D19" s="194"/>
    </row>
    <row r="20" spans="2:4" x14ac:dyDescent="0.25">
      <c r="B20" s="194"/>
      <c r="C20" s="188"/>
      <c r="D20" s="194"/>
    </row>
    <row r="21" spans="2:4" x14ac:dyDescent="0.25">
      <c r="B21" s="194"/>
      <c r="C21" s="188"/>
      <c r="D21" s="194"/>
    </row>
    <row r="22" spans="2:4" x14ac:dyDescent="0.25">
      <c r="B22" s="194"/>
      <c r="C22" s="188"/>
      <c r="D22" s="194"/>
    </row>
    <row r="23" spans="2:4" x14ac:dyDescent="0.25">
      <c r="B23" s="194"/>
      <c r="C23" s="188"/>
      <c r="D23" s="194"/>
    </row>
    <row r="24" spans="2:4" x14ac:dyDescent="0.25">
      <c r="B24" s="194"/>
      <c r="C24" s="188"/>
      <c r="D24" s="194"/>
    </row>
    <row r="25" spans="2:4" x14ac:dyDescent="0.25">
      <c r="B25" s="194"/>
      <c r="C25" s="188"/>
      <c r="D25" s="194"/>
    </row>
    <row r="26" spans="2:4" x14ac:dyDescent="0.25">
      <c r="B26" s="194"/>
      <c r="C26" s="188"/>
      <c r="D26" s="194"/>
    </row>
    <row r="27" spans="2:4" x14ac:dyDescent="0.25">
      <c r="B27" s="194"/>
      <c r="C27" s="188"/>
      <c r="D27" s="194"/>
    </row>
    <row r="28" spans="2:4" x14ac:dyDescent="0.25">
      <c r="B28" s="194"/>
      <c r="C28" s="188"/>
      <c r="D28" s="194"/>
    </row>
    <row r="29" spans="2:4" x14ac:dyDescent="0.25">
      <c r="B29" s="194"/>
      <c r="C29" s="188"/>
      <c r="D29" s="194"/>
    </row>
    <row r="30" spans="2:4" x14ac:dyDescent="0.25">
      <c r="B30" s="194"/>
      <c r="C30" s="188"/>
      <c r="D30" s="194"/>
    </row>
    <row r="31" spans="2:4" x14ac:dyDescent="0.25">
      <c r="B31" s="194"/>
      <c r="C31" s="188"/>
      <c r="D31" s="194"/>
    </row>
    <row r="32" spans="2:4" x14ac:dyDescent="0.25">
      <c r="B32" s="194"/>
      <c r="C32" s="188"/>
      <c r="D32" s="194"/>
    </row>
    <row r="33" spans="2:4" x14ac:dyDescent="0.25">
      <c r="B33" s="194"/>
      <c r="C33" s="188"/>
      <c r="D33" s="194"/>
    </row>
    <row r="34" spans="2:4" x14ac:dyDescent="0.25">
      <c r="B34" s="195"/>
    </row>
  </sheetData>
  <pageMargins left="0.7" right="0.7" top="0.78740157499999996" bottom="0.78740157499999996" header="0.3" footer="0.3"/>
  <pageSetup paperSize="9" orientation="portrait" r:id="rId1"/>
  <headerFooter>
    <oddFooter>&amp;LInternal: All rights reserved. Distribution within DRÄXLMAIER Group, customer and partners.&amp;C_x000D_&amp;1#&amp;"Arial"&amp;9&amp;K000000 Internal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68F2572844214FA75DA9F20FF60AA4" ma:contentTypeVersion="18" ma:contentTypeDescription="Create a new document." ma:contentTypeScope="" ma:versionID="e72ee8ac63151c945fcf39a3a7a041d1">
  <xsd:schema xmlns:xsd="http://www.w3.org/2001/XMLSchema" xmlns:xs="http://www.w3.org/2001/XMLSchema" xmlns:p="http://schemas.microsoft.com/office/2006/metadata/properties" xmlns:ns2="7f63c3e0-fdcb-4b30-85cb-31e30d52226d" xmlns:ns3="a7d8fb68-80b6-4345-93f2-ff0cc9ff6fa6" targetNamespace="http://schemas.microsoft.com/office/2006/metadata/properties" ma:root="true" ma:fieldsID="0116370a087b7b5aeebbdd8f6e9340b7" ns2:_="" ns3:_="">
    <xsd:import namespace="7f63c3e0-fdcb-4b30-85cb-31e30d52226d"/>
    <xsd:import namespace="a7d8fb68-80b6-4345-93f2-ff0cc9ff6fa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63c3e0-fdcb-4b30-85cb-31e30d5222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719ce222-a724-4153-a250-9420caf305a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d8fb68-80b6-4345-93f2-ff0cc9ff6fa6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2310a68d-57d9-4235-a9b5-bf6d0f2f6198}" ma:internalName="TaxCatchAll" ma:showField="CatchAllData" ma:web="a7d8fb68-80b6-4345-93f2-ff0cc9ff6fa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7d8fb68-80b6-4345-93f2-ff0cc9ff6fa6" xsi:nil="true"/>
    <lcf76f155ced4ddcb4097134ff3c332f xmlns="7f63c3e0-fdcb-4b30-85cb-31e30d52226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386129B-CE8E-4B38-9ED7-8C45AD1C868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831F654-3228-4E68-A5C5-649319B711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63c3e0-fdcb-4b30-85cb-31e30d52226d"/>
    <ds:schemaRef ds:uri="a7d8fb68-80b6-4345-93f2-ff0cc9ff6fa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94D3568-85DB-47DB-ABF7-F6D368FEB0E5}">
  <ds:schemaRefs>
    <ds:schemaRef ds:uri="http://schemas.microsoft.com/office/2006/metadata/properties"/>
    <ds:schemaRef ds:uri="http://schemas.microsoft.com/office/infopath/2007/PartnerControls"/>
    <ds:schemaRef ds:uri="a7d8fb68-80b6-4345-93f2-ff0cc9ff6fa6"/>
    <ds:schemaRef ds:uri="7f63c3e0-fdcb-4b30-85cb-31e30d52226d"/>
  </ds:schemaRefs>
</ds:datastoreItem>
</file>

<file path=docMetadata/LabelInfo.xml><?xml version="1.0" encoding="utf-8"?>
<clbl:labelList xmlns:clbl="http://schemas.microsoft.com/office/2020/mipLabelMetadata">
  <clbl:label id="{3d921970-61b0-4443-b2b0-d966ab82c5d1}" enabled="1" method="Privileged" siteId="{492ac175-0fcd-4d6c-8fde-e15c70d1986b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Eingabe und Diagramm</vt:lpstr>
      <vt:lpstr>Berechnung</vt:lpstr>
      <vt:lpstr>Änderungshistorie</vt:lpstr>
      <vt:lpstr>Anzahl</vt:lpstr>
      <vt:lpstr>BEOBPOGW</vt:lpstr>
      <vt:lpstr>BEOBPPM</vt:lpstr>
      <vt:lpstr>BEOBPUGW</vt:lpstr>
      <vt:lpstr>BERP</vt:lpstr>
      <vt:lpstr>BERPOGW</vt:lpstr>
      <vt:lpstr>BERPUGW</vt:lpstr>
      <vt:lpstr>CP</vt:lpstr>
      <vt:lpstr>CPK</vt:lpstr>
      <vt:lpstr>CPO</vt:lpstr>
      <vt:lpstr>CPU</vt:lpstr>
      <vt:lpstr>Maßeinheit</vt:lpstr>
      <vt:lpstr>Maximum</vt:lpstr>
      <vt:lpstr>Median</vt:lpstr>
      <vt:lpstr>Merkmal</vt:lpstr>
      <vt:lpstr>Merkman</vt:lpstr>
      <vt:lpstr>Messkriterien</vt:lpstr>
      <vt:lpstr>Minimum</vt:lpstr>
      <vt:lpstr>Mittelwert</vt:lpstr>
      <vt:lpstr>OGW</vt:lpstr>
      <vt:lpstr>P</vt:lpstr>
      <vt:lpstr>POGW</vt:lpstr>
      <vt:lpstr>Berechnung!Print_Area</vt:lpstr>
      <vt:lpstr>'Eingabe und Diagramm'!Print_Area</vt:lpstr>
      <vt:lpstr>Prüfer</vt:lpstr>
      <vt:lpstr>PUGW</vt:lpstr>
      <vt:lpstr>Sollwert</vt:lpstr>
      <vt:lpstr>Spannweite</vt:lpstr>
      <vt:lpstr>Standardabweichung</vt:lpstr>
      <vt:lpstr>Toleranzen</vt:lpstr>
      <vt:lpstr>UGW</vt:lpstr>
      <vt:lpstr>UGWd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Buchner Daniel PI44</dc:creator>
  <cp:keywords>Internal;</cp:keywords>
  <cp:lastModifiedBy>Juhasz Levente-Istvan OC235</cp:lastModifiedBy>
  <cp:lastPrinted>2014-09-29T11:17:46Z</cp:lastPrinted>
  <dcterms:created xsi:type="dcterms:W3CDTF">2013-06-04T12:27:04Z</dcterms:created>
  <dcterms:modified xsi:type="dcterms:W3CDTF">2024-10-04T07:25:52Z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Internal</vt:lpwstr>
  </property>
  <property fmtid="{D5CDD505-2E9C-101B-9397-08002B2CF9AE}" pid="3" name="ContentTypeId">
    <vt:lpwstr>0x0101001068F2572844214FA75DA9F20FF60AA4</vt:lpwstr>
  </property>
  <property fmtid="{D5CDD505-2E9C-101B-9397-08002B2CF9AE}" pid="4" name="MediaServiceImageTags">
    <vt:lpwstr/>
  </property>
</Properties>
</file>