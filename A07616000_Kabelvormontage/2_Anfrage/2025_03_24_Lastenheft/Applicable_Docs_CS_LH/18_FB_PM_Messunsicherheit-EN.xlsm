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vbaProject.bin" ContentType="application/vnd.ms-office.vbaProject"/>
  <Override PartName="/xl/comments1.xml" ContentType="application/vnd.openxmlformats-officedocument.spreadsheetml.comments+xml"/>
  <Override PartName="/xl/calcChain.xml" ContentType="application/vnd.openxmlformats-officedocument.spreadsheetml.calcChain+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1.xml" ContentType="application/vnd.openxmlformats-officedocument.customXml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raexlmaier-my.sharepoint.com/personal/levente-istvan_juhasz_draexlmaier_com/Documents/LH/1. Documents/Documents to send for ordering/"/>
    </mc:Choice>
  </mc:AlternateContent>
  <xr:revisionPtr revIDLastSave="0" documentId="13_ncr:1_{EB664DF3-D9BF-4FD8-AD30-36892DD61965}" xr6:coauthVersionLast="47" xr6:coauthVersionMax="47" xr10:uidLastSave="{00000000-0000-0000-0000-000000000000}"/>
  <bookViews>
    <workbookView xWindow="2025" yWindow="1950" windowWidth="21600" windowHeight="12675" activeTab="1" xr2:uid="{00000000-000D-0000-FFFF-FFFF00000000}"/>
  </bookViews>
  <sheets>
    <sheet name="Overview" sheetId="1" r:id="rId1"/>
    <sheet name="Measurement Uncertainty" sheetId="13" r:id="rId2"/>
  </sheets>
  <definedNames>
    <definedName name="BenMittel" localSheetId="1">#REF!</definedName>
    <definedName name="BenMittel">#REF!</definedName>
    <definedName name="BenTeil" localSheetId="1">#REF!</definedName>
    <definedName name="BenTeil">#REF!</definedName>
    <definedName name="Datum" localSheetId="1">#REF!</definedName>
    <definedName name="Datum">#REF!</definedName>
    <definedName name="Identnummer" localSheetId="1">#REF!</definedName>
    <definedName name="Identnummer">#REF!</definedName>
    <definedName name="ISFOXAutomaticLabelingDisabled" hidden="1">"True"</definedName>
    <definedName name="ISFOXClassificationHistory_0" localSheetId="1" hidden="1">"DOMFGDVB\rc21657;d4c75f49-f1ee-485c-aa75-2c54e2ab5223;Internal;2016-03-23T14:02:51;;DRX|"</definedName>
    <definedName name="ISFOXClassificationHistory_0" hidden="1">"Classified by external tool;d4c75f49-f1ee-485c-aa75-2c54e2ab5223;Internal;2018-11-29T12:04:24;Changed by Policies;DRX|"</definedName>
    <definedName name="ISFOXClassificationId" hidden="1">"d4c75f49-f1ee-485c-aa75-2c54e2ab5223"</definedName>
    <definedName name="ISFOXClassificationInKeywords" hidden="1">"Internal"</definedName>
    <definedName name="ISFOXClassificationName" hidden="1">"Internal"</definedName>
    <definedName name="ISFOXDocumentClassificationVersion" hidden="1">3</definedName>
    <definedName name="ISFOXLabelingDefaultPosition">3</definedName>
    <definedName name="ISFOXLabelingVisibleInDocument" hidden="1">"True"</definedName>
    <definedName name="ISFOXOldClassificationId" hidden="1">"d4c75f49-f1ee-485c-aa75-2c54e2ab5223"</definedName>
    <definedName name="ISFOXOldClassificationIdBackup" localSheetId="1" hidden="1">"d4c75f49-f1ee-485c-aa75-2c54e2ab5223"</definedName>
    <definedName name="ISFOXOldClassificationIdBackup" hidden="1">"00000000-0000-0000-0000-000000000000"</definedName>
    <definedName name="ISFOXPrefix" hidden="1">"DRX"</definedName>
    <definedName name="ISFOXPreviousClassificationId" hidden="1">"d4c75f49-f1ee-485c-aa75-2c54e2ab5223"</definedName>
    <definedName name="ISFOXSaveAsProcess" hidden="1">"True"</definedName>
    <definedName name="ISFOXShowClassificationRequestWindow" hidden="1">"False"</definedName>
    <definedName name="ISFOXVersionHistoryCount" hidden="1">1</definedName>
    <definedName name="ISFOXVersioningChanged" hidden="1">"False"</definedName>
    <definedName name="ISFOXWorkbookInitialized" hidden="1">"False"</definedName>
    <definedName name="Merkmalstext" localSheetId="1">#REF!</definedName>
    <definedName name="Merkmalstext">#REF!</definedName>
    <definedName name="Messungen">#REF!</definedName>
    <definedName name="_xlnm.Print_Area" localSheetId="1">'Measurement Uncertainty'!$A$1:$S$65</definedName>
    <definedName name="_xlnm.Print_Area" localSheetId="0">Overview!$B:$Q</definedName>
    <definedName name="Prüfteil" localSheetId="1">#REF!</definedName>
    <definedName name="Prüfteil">#REF!</definedName>
    <definedName name="Sachnummer" localSheetId="1">#REF!</definedName>
    <definedName name="Sachnummer">#REF!</definedName>
    <definedName name="Spezifikation" localSheetId="1">#REF!</definedName>
    <definedName name="Spezifikation">#REF!</definedName>
    <definedName name="Toleranz" localSheetId="1">#REF!</definedName>
    <definedName name="Toleranz">#REF!</definedName>
    <definedName name="Wert1" localSheetId="1">#REF!</definedName>
    <definedName name="Wert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1" i="13" l="1"/>
  <c r="O10" i="13"/>
  <c r="O143" i="13" l="1"/>
  <c r="B143" i="13"/>
  <c r="O142" i="13"/>
  <c r="B142" i="13"/>
  <c r="O141" i="13"/>
  <c r="B141" i="13"/>
  <c r="O140" i="13"/>
  <c r="B140" i="13"/>
  <c r="O139" i="13"/>
  <c r="B139" i="13"/>
  <c r="O138" i="13"/>
  <c r="B138" i="13"/>
  <c r="O137" i="13"/>
  <c r="B137" i="13"/>
  <c r="O136" i="13"/>
  <c r="B136" i="13"/>
  <c r="O135" i="13"/>
  <c r="B135" i="13"/>
  <c r="O134" i="13"/>
  <c r="B134" i="13"/>
  <c r="O133" i="13"/>
  <c r="B133" i="13"/>
  <c r="O132" i="13"/>
  <c r="B132" i="13"/>
  <c r="O131" i="13"/>
  <c r="B131" i="13"/>
  <c r="O130" i="13"/>
  <c r="B130" i="13"/>
  <c r="O129" i="13"/>
  <c r="B129" i="13"/>
  <c r="O128" i="13"/>
  <c r="B128" i="13"/>
  <c r="O127" i="13"/>
  <c r="B127" i="13"/>
  <c r="U126" i="13"/>
  <c r="O126" i="13"/>
  <c r="B126" i="13"/>
  <c r="U125" i="13"/>
  <c r="O125" i="13"/>
  <c r="B125" i="13"/>
  <c r="U124" i="13"/>
  <c r="O124" i="13"/>
  <c r="B124" i="13"/>
  <c r="U123" i="13"/>
  <c r="O123" i="13"/>
  <c r="B123" i="13"/>
  <c r="U122" i="13"/>
  <c r="R122" i="13"/>
  <c r="O122" i="13"/>
  <c r="B122" i="13"/>
  <c r="U121" i="13"/>
  <c r="R121" i="13"/>
  <c r="O121" i="13"/>
  <c r="B121" i="13"/>
  <c r="U120" i="13"/>
  <c r="O120" i="13"/>
  <c r="B120" i="13"/>
  <c r="U119" i="13"/>
  <c r="O119" i="13"/>
  <c r="B119" i="13"/>
  <c r="U118" i="13"/>
  <c r="O118" i="13"/>
  <c r="B118" i="13"/>
  <c r="U117" i="13"/>
  <c r="R117" i="13"/>
  <c r="O117" i="13"/>
  <c r="B117" i="13"/>
  <c r="U116" i="13"/>
  <c r="R116" i="13"/>
  <c r="O116" i="13"/>
  <c r="B116" i="13"/>
  <c r="U115" i="13"/>
  <c r="O115" i="13"/>
  <c r="B115" i="13"/>
  <c r="U114" i="13"/>
  <c r="O114" i="13"/>
  <c r="B114" i="13"/>
  <c r="U113" i="13"/>
  <c r="O113" i="13"/>
  <c r="B113" i="13"/>
  <c r="U112" i="13"/>
  <c r="O112" i="13"/>
  <c r="B112" i="13"/>
  <c r="U111" i="13"/>
  <c r="O111" i="13"/>
  <c r="B111" i="13"/>
  <c r="U110" i="13"/>
  <c r="R110" i="13"/>
  <c r="O110" i="13"/>
  <c r="B110" i="13"/>
  <c r="U109" i="13"/>
  <c r="R109" i="13"/>
  <c r="O109" i="13"/>
  <c r="B109" i="13"/>
  <c r="U108" i="13"/>
  <c r="O108" i="13"/>
  <c r="B108" i="13"/>
  <c r="U107" i="13"/>
  <c r="O107" i="13"/>
  <c r="B107" i="13"/>
  <c r="U106" i="13"/>
  <c r="O106" i="13"/>
  <c r="B106" i="13"/>
  <c r="U105" i="13"/>
  <c r="O105" i="13"/>
  <c r="B105" i="13"/>
  <c r="U104" i="13"/>
  <c r="O104" i="13"/>
  <c r="B104" i="13"/>
  <c r="U103" i="13"/>
  <c r="O103" i="13"/>
  <c r="B103" i="13"/>
  <c r="U102" i="13"/>
  <c r="O102" i="13"/>
  <c r="B102" i="13"/>
  <c r="U101" i="13"/>
  <c r="O101" i="13"/>
  <c r="B101" i="13"/>
  <c r="U100" i="13"/>
  <c r="O100" i="13"/>
  <c r="B100" i="13"/>
  <c r="U99" i="13"/>
  <c r="O99" i="13"/>
  <c r="B99" i="13"/>
  <c r="U98" i="13"/>
  <c r="O98" i="13"/>
  <c r="B98" i="13"/>
  <c r="U97" i="13"/>
  <c r="O97" i="13"/>
  <c r="B97" i="13"/>
  <c r="U96" i="13"/>
  <c r="O96" i="13"/>
  <c r="B96" i="13"/>
  <c r="U95" i="13"/>
  <c r="R95" i="13"/>
  <c r="O95" i="13"/>
  <c r="B95" i="13"/>
  <c r="U94" i="13"/>
  <c r="R94" i="13"/>
  <c r="O94" i="13"/>
  <c r="B94" i="13"/>
  <c r="U93" i="13"/>
  <c r="U92" i="13"/>
  <c r="U91" i="13"/>
  <c r="U90" i="13"/>
  <c r="U89" i="13"/>
  <c r="U88" i="13"/>
  <c r="U87" i="13"/>
  <c r="U86" i="13"/>
  <c r="U85" i="13"/>
  <c r="U84" i="13"/>
  <c r="U83" i="13"/>
  <c r="U82" i="13"/>
  <c r="U81" i="13"/>
  <c r="U80" i="13"/>
  <c r="U79" i="13"/>
  <c r="U78" i="13"/>
  <c r="U77" i="13"/>
  <c r="S58" i="13"/>
  <c r="H58" i="13"/>
  <c r="S57" i="13"/>
  <c r="H57" i="13"/>
  <c r="S56" i="13"/>
  <c r="H56" i="13"/>
  <c r="S55" i="13"/>
  <c r="O55" i="13"/>
  <c r="H55" i="13"/>
  <c r="AF47" i="13"/>
  <c r="AF46" i="13"/>
  <c r="AF44" i="13"/>
  <c r="Z23" i="13"/>
  <c r="AB23" i="13" s="1"/>
  <c r="R7" i="13" s="1"/>
  <c r="AE16" i="13"/>
  <c r="AE15" i="13"/>
  <c r="Z11" i="13"/>
  <c r="Z10" i="13"/>
  <c r="AC8" i="13"/>
  <c r="R112" i="13" l="1"/>
  <c r="R123" i="13"/>
  <c r="Z7" i="13" s="1"/>
  <c r="F58" i="13" s="1"/>
  <c r="R118" i="13"/>
  <c r="Z6" i="13" s="1"/>
  <c r="F57" i="13" s="1"/>
  <c r="P118" i="13"/>
  <c r="P137" i="13"/>
  <c r="P141" i="13"/>
  <c r="P105" i="13"/>
  <c r="P112" i="13"/>
  <c r="P108" i="13"/>
  <c r="P110" i="13"/>
  <c r="P115" i="13"/>
  <c r="P120" i="13"/>
  <c r="P135" i="13"/>
  <c r="P139" i="13"/>
  <c r="P128" i="13"/>
  <c r="P132" i="13"/>
  <c r="AF45" i="13"/>
  <c r="AG45" i="13" s="1"/>
  <c r="AG46" i="13" s="1"/>
  <c r="R97" i="13"/>
  <c r="Z12" i="13"/>
  <c r="P126" i="13"/>
  <c r="AF51" i="13"/>
  <c r="AF50" i="13"/>
  <c r="W105" i="13"/>
  <c r="W101" i="13"/>
  <c r="P134" i="13"/>
  <c r="F4" i="1"/>
  <c r="N3" i="1"/>
  <c r="J3" i="1"/>
  <c r="F2" i="1"/>
  <c r="B2" i="1"/>
  <c r="B4" i="1"/>
  <c r="N4" i="1"/>
  <c r="F3" i="1"/>
  <c r="B3" i="1"/>
  <c r="J4" i="1"/>
  <c r="N2" i="1"/>
  <c r="J2" i="1"/>
  <c r="AC6" i="13" l="1"/>
  <c r="P99" i="13" s="1"/>
  <c r="Z8" i="13"/>
  <c r="AG47" i="13"/>
  <c r="AF49" i="13"/>
  <c r="R11" i="13" s="1"/>
  <c r="AF8" i="13" s="1"/>
  <c r="AF48" i="13"/>
  <c r="R10" i="13" s="1"/>
  <c r="P136" i="13"/>
  <c r="P116" i="13"/>
  <c r="P125" i="13"/>
  <c r="P103" i="13"/>
  <c r="P114" i="13"/>
  <c r="P96" i="13"/>
  <c r="P123" i="13"/>
  <c r="P111" i="13"/>
  <c r="P107" i="13"/>
  <c r="P113" i="13"/>
  <c r="P129" i="13"/>
  <c r="P106" i="13"/>
  <c r="P131" i="13"/>
  <c r="P138" i="13"/>
  <c r="P130" i="13"/>
  <c r="P102" i="13"/>
  <c r="P104" i="13"/>
  <c r="P121" i="13"/>
  <c r="P101" i="13"/>
  <c r="P127" i="13"/>
  <c r="P124" i="13"/>
  <c r="P119" i="13"/>
  <c r="P109" i="13"/>
  <c r="P142" i="13"/>
  <c r="P143" i="13"/>
  <c r="P122" i="13"/>
  <c r="P117" i="13"/>
  <c r="P97" i="13"/>
  <c r="P140" i="13"/>
  <c r="P133" i="13"/>
  <c r="F55" i="13" l="1"/>
  <c r="P100" i="13"/>
  <c r="P98" i="13"/>
  <c r="P94" i="13"/>
  <c r="Z33" i="13"/>
  <c r="S23" i="13" s="1"/>
  <c r="AC10" i="13"/>
  <c r="Q56" i="13" s="1"/>
  <c r="P95" i="13"/>
  <c r="R102" i="13" s="1"/>
  <c r="R103" i="13"/>
  <c r="AF10" i="13"/>
  <c r="AF7" i="13" s="1"/>
  <c r="AF9" i="13"/>
  <c r="D33" i="13" s="1"/>
  <c r="D37" i="13"/>
  <c r="C23" i="13"/>
  <c r="D49" i="13"/>
  <c r="C37" i="13"/>
  <c r="C33" i="13"/>
  <c r="C26" i="13"/>
  <c r="D19" i="13"/>
  <c r="C18" i="13"/>
  <c r="C14" i="13"/>
  <c r="D10" i="13"/>
  <c r="D8" i="13"/>
  <c r="C6" i="13"/>
  <c r="C4" i="13"/>
  <c r="D52" i="13"/>
  <c r="C50" i="13"/>
  <c r="C48" i="13"/>
  <c r="C47" i="13"/>
  <c r="C40" i="13"/>
  <c r="C36" i="13"/>
  <c r="C32" i="13"/>
  <c r="C24" i="13"/>
  <c r="D23" i="13"/>
  <c r="C21" i="13"/>
  <c r="C17" i="13"/>
  <c r="C16" i="13"/>
  <c r="D14" i="13"/>
  <c r="D9" i="13"/>
  <c r="C8" i="13"/>
  <c r="D3" i="13"/>
  <c r="C49" i="13"/>
  <c r="D44" i="13"/>
  <c r="C38" i="13"/>
  <c r="C30" i="13"/>
  <c r="C22" i="13"/>
  <c r="D20" i="13"/>
  <c r="C13" i="13"/>
  <c r="C11" i="13"/>
  <c r="C10" i="13"/>
  <c r="D47" i="13"/>
  <c r="C43" i="13"/>
  <c r="D32" i="13"/>
  <c r="D24" i="13"/>
  <c r="D17" i="13"/>
  <c r="C15" i="13"/>
  <c r="D4" i="13"/>
  <c r="C52" i="13"/>
  <c r="C41" i="13"/>
  <c r="D38" i="13"/>
  <c r="D34" i="13"/>
  <c r="D30" i="13"/>
  <c r="C29" i="13"/>
  <c r="D22" i="13"/>
  <c r="C19" i="13"/>
  <c r="D13" i="13"/>
  <c r="C12" i="13"/>
  <c r="D11" i="13"/>
  <c r="C7" i="13"/>
  <c r="D5" i="13"/>
  <c r="C3" i="13"/>
  <c r="C51" i="13"/>
  <c r="D46" i="13"/>
  <c r="C34" i="13"/>
  <c r="D25" i="13"/>
  <c r="D18" i="13"/>
  <c r="D15" i="13"/>
  <c r="C5" i="13"/>
  <c r="D40" i="13"/>
  <c r="D36" i="13"/>
  <c r="C27" i="13"/>
  <c r="D21" i="13"/>
  <c r="D16" i="13"/>
  <c r="D35" i="13"/>
  <c r="D50" i="13"/>
  <c r="D42" i="13"/>
  <c r="D51" i="13"/>
  <c r="AB18" i="13"/>
  <c r="D43" i="13"/>
  <c r="D6" i="13"/>
  <c r="D7" i="13"/>
  <c r="D39" i="13"/>
  <c r="D12" i="13"/>
  <c r="AB17" i="13"/>
  <c r="AF6" i="13"/>
  <c r="R105" i="13" l="1"/>
  <c r="AC7" i="13" s="1"/>
  <c r="A80" i="13" s="1"/>
  <c r="D26" i="13"/>
  <c r="C31" i="13"/>
  <c r="C35" i="13"/>
  <c r="D31" i="13"/>
  <c r="C39" i="13"/>
  <c r="C42" i="13"/>
  <c r="C45" i="13"/>
  <c r="C28" i="13"/>
  <c r="C20" i="13"/>
  <c r="C44" i="13"/>
  <c r="C25" i="13"/>
  <c r="D45" i="13"/>
  <c r="C46" i="13"/>
  <c r="D27" i="13"/>
  <c r="D41" i="13"/>
  <c r="D28" i="13"/>
  <c r="C9" i="13"/>
  <c r="D29" i="13"/>
  <c r="D48" i="13"/>
  <c r="Q85" i="13"/>
  <c r="S82" i="13" s="1"/>
  <c r="Q86" i="13"/>
  <c r="S83" i="13" s="1"/>
  <c r="Z27" i="13" l="1"/>
  <c r="S17" i="13" s="1"/>
  <c r="F53" i="13"/>
  <c r="Z34" i="13"/>
  <c r="AA34" i="13" s="1"/>
  <c r="AE34" i="13" s="1"/>
  <c r="Z18" i="13"/>
  <c r="Q55" i="13" s="1"/>
  <c r="Q58" i="13" s="1"/>
  <c r="O85" i="13"/>
  <c r="R82" i="13" s="1"/>
  <c r="Q82" i="13" s="1"/>
  <c r="Z19" i="13"/>
  <c r="AE19" i="13"/>
  <c r="AH19" i="13" s="1"/>
  <c r="Z16" i="13"/>
  <c r="Z38" i="13"/>
  <c r="S28" i="13" s="1"/>
  <c r="Z32" i="13"/>
  <c r="S22" i="13" s="1"/>
  <c r="Z30" i="13"/>
  <c r="AA30" i="13" s="1"/>
  <c r="AE30" i="13" s="1"/>
  <c r="Z17" i="13"/>
  <c r="AF11" i="13" s="1"/>
  <c r="AF12" i="13" s="1"/>
  <c r="O86" i="13"/>
  <c r="R83" i="13" s="1"/>
  <c r="F80" i="13" s="1"/>
  <c r="Z31" i="13"/>
  <c r="S21" i="13" s="1"/>
  <c r="Z37" i="13"/>
  <c r="AA37" i="13" s="1"/>
  <c r="AE37" i="13" s="1"/>
  <c r="Z39" i="13"/>
  <c r="AA39" i="13" s="1"/>
  <c r="AE39" i="13" s="1"/>
  <c r="Z35" i="13"/>
  <c r="AA35" i="13" s="1"/>
  <c r="AE35" i="13" s="1"/>
  <c r="Z29" i="13"/>
  <c r="S19" i="13" s="1"/>
  <c r="Z28" i="13"/>
  <c r="AA28" i="13" s="1"/>
  <c r="AE28" i="13" s="1"/>
  <c r="AD28" i="13" s="1"/>
  <c r="F56" i="13"/>
  <c r="Z36" i="13"/>
  <c r="AA36" i="13" s="1"/>
  <c r="AE36" i="13" s="1"/>
  <c r="AA33" i="13"/>
  <c r="AE33" i="13" s="1"/>
  <c r="AD34" i="13" s="1"/>
  <c r="AA32" i="13"/>
  <c r="AE32" i="13" s="1"/>
  <c r="AE18" i="13"/>
  <c r="AH18" i="13" s="1"/>
  <c r="AA29" i="13"/>
  <c r="AE29" i="13" s="1"/>
  <c r="L60" i="13"/>
  <c r="S25" i="13" l="1"/>
  <c r="Q57" i="13"/>
  <c r="AA27" i="13"/>
  <c r="AA38" i="13"/>
  <c r="AE38" i="13" s="1"/>
  <c r="AD39" i="13" s="1"/>
  <c r="S24" i="13"/>
  <c r="AD35" i="13"/>
  <c r="S27" i="13"/>
  <c r="AD36" i="13"/>
  <c r="AE17" i="13"/>
  <c r="Z20" i="13" s="1"/>
  <c r="S18" i="13"/>
  <c r="AD29" i="13"/>
  <c r="AD33" i="13"/>
  <c r="S26" i="13"/>
  <c r="S29" i="13"/>
  <c r="S20" i="13"/>
  <c r="Z40" i="13"/>
  <c r="AA40" i="13" s="1"/>
  <c r="AE40" i="13" s="1"/>
  <c r="AD37" i="13"/>
  <c r="AA31" i="13"/>
  <c r="AE31" i="13" s="1"/>
  <c r="AD31" i="13" s="1"/>
  <c r="Q79" i="13"/>
  <c r="F81" i="13" s="1"/>
  <c r="Q83" i="13"/>
  <c r="Q78" i="13"/>
  <c r="AE20" i="13"/>
  <c r="M60" i="13" s="1"/>
  <c r="AE21" i="13"/>
  <c r="AI46" i="13" s="1"/>
  <c r="AI48" i="13" s="1"/>
  <c r="AI50" i="13" s="1"/>
  <c r="R60" i="13" s="1"/>
  <c r="B60" i="13"/>
  <c r="AH17" i="13"/>
  <c r="C60" i="13" s="1"/>
  <c r="AI45" i="13"/>
  <c r="AI47" i="13" s="1"/>
  <c r="AI49" i="13" s="1"/>
  <c r="I60" i="13" s="1"/>
  <c r="AD30" i="13"/>
  <c r="J80" i="13"/>
  <c r="H80" i="13"/>
  <c r="G80" i="13"/>
  <c r="AD38" i="13" l="1"/>
  <c r="AD32" i="13"/>
  <c r="Z60" i="13"/>
  <c r="F82" i="13"/>
  <c r="J81" i="13"/>
  <c r="H81" i="13"/>
  <c r="G81" i="13"/>
  <c r="Z64" i="13" l="1"/>
  <c r="A63" i="13" s="1"/>
  <c r="Z65" i="13"/>
  <c r="A64" i="13" s="1"/>
  <c r="Z63" i="13"/>
  <c r="A62" i="13" s="1"/>
  <c r="J82" i="13"/>
  <c r="I82" i="13" s="1"/>
  <c r="F83" i="13"/>
  <c r="H82" i="13"/>
  <c r="G82" i="13"/>
  <c r="J83" i="13" l="1"/>
  <c r="I83" i="13" s="1"/>
  <c r="F84" i="13"/>
  <c r="H83" i="13"/>
  <c r="G83" i="13"/>
  <c r="F85" i="13" l="1"/>
  <c r="J84" i="13"/>
  <c r="I84" i="13" s="1"/>
  <c r="H84" i="13"/>
  <c r="G84" i="13"/>
  <c r="F86" i="13" l="1"/>
  <c r="J85" i="13"/>
  <c r="I85" i="13" s="1"/>
  <c r="H85" i="13"/>
  <c r="G85" i="13"/>
  <c r="F87" i="13" l="1"/>
  <c r="J86" i="13"/>
  <c r="I86" i="13" s="1"/>
  <c r="H86" i="13"/>
  <c r="G86" i="13"/>
  <c r="F88" i="13" l="1"/>
  <c r="J87" i="13"/>
  <c r="I87" i="13" s="1"/>
  <c r="H87" i="13"/>
  <c r="G87" i="13"/>
  <c r="J88" i="13" l="1"/>
  <c r="I88" i="13" s="1"/>
  <c r="F89" i="13"/>
  <c r="H88" i="13"/>
  <c r="G88" i="13"/>
  <c r="F90" i="13" l="1"/>
  <c r="J89" i="13"/>
  <c r="I89" i="13" s="1"/>
  <c r="H89" i="13"/>
  <c r="G89" i="13"/>
  <c r="J90" i="13" l="1"/>
  <c r="I90" i="13" s="1"/>
  <c r="F91" i="13"/>
  <c r="H90" i="13"/>
  <c r="G90" i="13"/>
  <c r="F92" i="13" l="1"/>
  <c r="J91" i="13"/>
  <c r="I91" i="13" s="1"/>
  <c r="H91" i="13"/>
  <c r="G91" i="13"/>
  <c r="J92" i="13" l="1"/>
  <c r="I92" i="13" s="1"/>
  <c r="F93" i="13"/>
  <c r="H92" i="13"/>
  <c r="G92" i="13"/>
  <c r="J93" i="13" l="1"/>
  <c r="I93" i="13" s="1"/>
  <c r="F94" i="13"/>
  <c r="H93" i="13"/>
  <c r="G93" i="13"/>
  <c r="J94" i="13" l="1"/>
  <c r="I94" i="13" s="1"/>
  <c r="F95" i="13"/>
  <c r="H94" i="13"/>
  <c r="G94" i="13"/>
  <c r="F96" i="13" l="1"/>
  <c r="J95" i="13"/>
  <c r="I95" i="13" s="1"/>
  <c r="H95" i="13"/>
  <c r="G95" i="13"/>
  <c r="F97" i="13" l="1"/>
  <c r="J96" i="13"/>
  <c r="I96" i="13" s="1"/>
  <c r="H96" i="13"/>
  <c r="G96" i="13"/>
  <c r="F98" i="13" l="1"/>
  <c r="J97" i="13"/>
  <c r="H97" i="13"/>
  <c r="G97" i="13"/>
  <c r="J98" i="13" l="1"/>
  <c r="I98" i="13" s="1"/>
  <c r="F99" i="13"/>
  <c r="H98" i="13"/>
  <c r="G98" i="13"/>
  <c r="J99" i="13" l="1"/>
  <c r="I99" i="13" s="1"/>
  <c r="F100" i="13"/>
  <c r="H99" i="13"/>
  <c r="G99" i="13"/>
  <c r="F101" i="13" l="1"/>
  <c r="J100" i="13"/>
  <c r="I100" i="13" s="1"/>
  <c r="H100" i="13"/>
  <c r="G100" i="13"/>
  <c r="J101" i="13" l="1"/>
  <c r="I101" i="13" s="1"/>
  <c r="F102" i="13"/>
  <c r="H101" i="13"/>
  <c r="G101" i="13"/>
  <c r="F103" i="13" l="1"/>
  <c r="J102" i="13"/>
  <c r="I102" i="13" s="1"/>
  <c r="H102" i="13"/>
  <c r="G102" i="13"/>
  <c r="F104" i="13" l="1"/>
  <c r="J103" i="13"/>
  <c r="I103" i="13" s="1"/>
  <c r="H103" i="13"/>
  <c r="G103" i="13"/>
  <c r="F105" i="13" l="1"/>
  <c r="J104" i="13"/>
  <c r="I104" i="13" s="1"/>
  <c r="H104" i="13"/>
  <c r="O150" i="13" s="1"/>
  <c r="G104" i="13"/>
  <c r="Q150" i="13" s="1"/>
  <c r="F106" i="13" l="1"/>
  <c r="J105" i="13"/>
  <c r="I105" i="13" s="1"/>
  <c r="H105" i="13"/>
  <c r="G105" i="13"/>
  <c r="J106" i="13" l="1"/>
  <c r="I106" i="13" s="1"/>
  <c r="F107" i="13"/>
  <c r="H106" i="13"/>
  <c r="G106" i="13"/>
  <c r="F108" i="13" l="1"/>
  <c r="J107" i="13"/>
  <c r="I107" i="13" s="1"/>
  <c r="H107" i="13"/>
  <c r="G107" i="13"/>
  <c r="F109" i="13" l="1"/>
  <c r="J108" i="13"/>
  <c r="I108" i="13" s="1"/>
  <c r="H108" i="13"/>
  <c r="G108" i="13"/>
  <c r="J109" i="13" l="1"/>
  <c r="I109" i="13" s="1"/>
  <c r="F110" i="13"/>
  <c r="H109" i="13"/>
  <c r="G109" i="13"/>
  <c r="F111" i="13" l="1"/>
  <c r="J110" i="13"/>
  <c r="I110" i="13" s="1"/>
  <c r="H110" i="13"/>
  <c r="G110" i="13"/>
  <c r="J111" i="13" l="1"/>
  <c r="I111" i="13" s="1"/>
  <c r="F112" i="13"/>
  <c r="H111" i="13"/>
  <c r="G111" i="13"/>
  <c r="F113" i="13" l="1"/>
  <c r="J112" i="13"/>
  <c r="I112" i="13" s="1"/>
  <c r="H112" i="13"/>
  <c r="G112" i="13"/>
  <c r="F114" i="13" l="1"/>
  <c r="J113" i="13"/>
  <c r="I113" i="13" s="1"/>
  <c r="H113" i="13"/>
  <c r="G113" i="13"/>
  <c r="J114" i="13" l="1"/>
  <c r="I114" i="13" s="1"/>
  <c r="F115" i="13"/>
  <c r="H114" i="13"/>
  <c r="G114" i="13"/>
  <c r="F116" i="13" l="1"/>
  <c r="J115" i="13"/>
  <c r="I115" i="13" s="1"/>
  <c r="H115" i="13"/>
  <c r="G115" i="13"/>
  <c r="F117" i="13" l="1"/>
  <c r="J116" i="13"/>
  <c r="I116" i="13" s="1"/>
  <c r="H116" i="13"/>
  <c r="G116" i="13"/>
  <c r="J117" i="13" l="1"/>
  <c r="I117" i="13" s="1"/>
  <c r="F118" i="13"/>
  <c r="H117" i="13"/>
  <c r="G117" i="13"/>
  <c r="F119" i="13" l="1"/>
  <c r="J118" i="13"/>
  <c r="I118" i="13" s="1"/>
  <c r="H118" i="13"/>
  <c r="G118" i="13"/>
  <c r="J119" i="13" l="1"/>
  <c r="F120" i="13"/>
  <c r="H119" i="13"/>
  <c r="G119" i="13"/>
  <c r="J120" i="13" l="1"/>
  <c r="I120" i="13" s="1"/>
  <c r="F121" i="13"/>
  <c r="H120" i="13"/>
  <c r="G120" i="13"/>
  <c r="F122" i="13" l="1"/>
  <c r="J121" i="13"/>
  <c r="I121" i="13" s="1"/>
  <c r="H121" i="13"/>
  <c r="G121" i="13"/>
  <c r="J122" i="13" l="1"/>
  <c r="I122" i="13" s="1"/>
  <c r="F123" i="13"/>
  <c r="H122" i="13"/>
  <c r="G122" i="13"/>
  <c r="F124" i="13" l="1"/>
  <c r="J123" i="13"/>
  <c r="I123" i="13" s="1"/>
  <c r="H123" i="13"/>
  <c r="G123" i="13"/>
  <c r="J124" i="13" l="1"/>
  <c r="I124" i="13" s="1"/>
  <c r="F125" i="13"/>
  <c r="H124" i="13"/>
  <c r="G124" i="13"/>
  <c r="F126" i="13" l="1"/>
  <c r="J125" i="13"/>
  <c r="I125" i="13" s="1"/>
  <c r="H125" i="13"/>
  <c r="G125" i="13"/>
  <c r="F127" i="13" l="1"/>
  <c r="J126" i="13"/>
  <c r="I126" i="13" s="1"/>
  <c r="H126" i="13"/>
  <c r="G126" i="13"/>
  <c r="F128" i="13" l="1"/>
  <c r="J127" i="13"/>
  <c r="I127" i="13" s="1"/>
  <c r="H127" i="13"/>
  <c r="G127" i="13"/>
  <c r="F129" i="13" l="1"/>
  <c r="J128" i="13"/>
  <c r="I128" i="13" s="1"/>
  <c r="H128" i="13"/>
  <c r="G128" i="13"/>
  <c r="F130" i="13" l="1"/>
  <c r="J129" i="13"/>
  <c r="I129" i="13" s="1"/>
  <c r="H129" i="13"/>
  <c r="O151" i="13" s="1"/>
  <c r="G129" i="13"/>
  <c r="Q151" i="13" s="1"/>
  <c r="F131" i="13" l="1"/>
  <c r="J130" i="13"/>
  <c r="I130" i="13" s="1"/>
  <c r="H130" i="13"/>
  <c r="G130" i="13"/>
  <c r="F132" i="13" l="1"/>
  <c r="J131" i="13"/>
  <c r="I131" i="13" s="1"/>
  <c r="H131" i="13"/>
  <c r="G131" i="13"/>
  <c r="F133" i="13" l="1"/>
  <c r="J132" i="13"/>
  <c r="I132" i="13" s="1"/>
  <c r="H132" i="13"/>
  <c r="G132" i="13"/>
  <c r="F134" i="13" l="1"/>
  <c r="J133" i="13"/>
  <c r="I133" i="13" s="1"/>
  <c r="H133" i="13"/>
  <c r="G133" i="13"/>
  <c r="F135" i="13" l="1"/>
  <c r="J134" i="13"/>
  <c r="I134" i="13" s="1"/>
  <c r="H134" i="13"/>
  <c r="G134" i="13"/>
  <c r="F136" i="13" l="1"/>
  <c r="J135" i="13"/>
  <c r="I135" i="13" s="1"/>
  <c r="H135" i="13"/>
  <c r="G135" i="13"/>
  <c r="F137" i="13" l="1"/>
  <c r="J136" i="13"/>
  <c r="I136" i="13" s="1"/>
  <c r="H136" i="13"/>
  <c r="G136" i="13"/>
  <c r="F138" i="13" l="1"/>
  <c r="J137" i="13"/>
  <c r="I137" i="13" s="1"/>
  <c r="H137" i="13"/>
  <c r="G137" i="13"/>
  <c r="F139" i="13" l="1"/>
  <c r="J138" i="13"/>
  <c r="I138" i="13" s="1"/>
  <c r="H138" i="13"/>
  <c r="G138" i="13"/>
  <c r="F140" i="13" l="1"/>
  <c r="J139" i="13"/>
  <c r="I139" i="13" s="1"/>
  <c r="H139" i="13"/>
  <c r="G139" i="13"/>
  <c r="F141" i="13" l="1"/>
  <c r="J140" i="13"/>
  <c r="I140" i="13" s="1"/>
  <c r="H140" i="13"/>
  <c r="G140" i="13"/>
  <c r="F142" i="13" l="1"/>
  <c r="J141" i="13"/>
  <c r="I141" i="13" s="1"/>
  <c r="H141" i="13"/>
  <c r="G141" i="13"/>
  <c r="F143" i="13" l="1"/>
  <c r="J142" i="13"/>
  <c r="I142" i="13" s="1"/>
  <c r="H142" i="13"/>
  <c r="G142" i="13"/>
  <c r="J143" i="13" l="1"/>
  <c r="I143" i="13" s="1"/>
  <c r="F144" i="13"/>
  <c r="H143" i="13"/>
  <c r="G143" i="13"/>
  <c r="F145" i="13" l="1"/>
  <c r="J144" i="13"/>
  <c r="I144" i="13" s="1"/>
  <c r="H144" i="13"/>
  <c r="G144" i="13"/>
  <c r="F146" i="13" l="1"/>
  <c r="J145" i="13"/>
  <c r="I145" i="13" s="1"/>
  <c r="H145" i="13"/>
  <c r="G145" i="13"/>
  <c r="J146" i="13" l="1"/>
  <c r="F147" i="13"/>
  <c r="H146" i="13"/>
  <c r="G146" i="13"/>
  <c r="J147" i="13" l="1"/>
  <c r="I147" i="13" s="1"/>
  <c r="F148" i="13"/>
  <c r="H147" i="13"/>
  <c r="G147" i="13"/>
  <c r="F149" i="13" l="1"/>
  <c r="J148" i="13"/>
  <c r="I148" i="13" s="1"/>
  <c r="H148" i="13"/>
  <c r="G148" i="13"/>
  <c r="F150" i="13" l="1"/>
  <c r="J149" i="13"/>
  <c r="I149" i="13" s="1"/>
  <c r="H149" i="13"/>
  <c r="G149" i="13"/>
  <c r="J150" i="13" l="1"/>
  <c r="I150" i="13" s="1"/>
  <c r="F151" i="13"/>
  <c r="H150" i="13"/>
  <c r="G150" i="13"/>
  <c r="J151" i="13" l="1"/>
  <c r="F152" i="13"/>
  <c r="H151" i="13"/>
  <c r="G151" i="13"/>
  <c r="J152" i="13" l="1"/>
  <c r="I152" i="13" s="1"/>
  <c r="F153" i="13"/>
  <c r="H152" i="13"/>
  <c r="G152" i="13"/>
  <c r="F154" i="13" l="1"/>
  <c r="J153" i="13"/>
  <c r="I153" i="13" s="1"/>
  <c r="H153" i="13"/>
  <c r="G153" i="13"/>
  <c r="J154" i="13" l="1"/>
  <c r="F155" i="13"/>
  <c r="H154" i="13"/>
  <c r="O152" i="13" s="1"/>
  <c r="G154" i="13"/>
  <c r="Q152" i="13" s="1"/>
  <c r="J155" i="13" l="1"/>
  <c r="I155" i="13" s="1"/>
  <c r="F156" i="13"/>
  <c r="H155" i="13"/>
  <c r="G155" i="13"/>
  <c r="F157" i="13" l="1"/>
  <c r="J156" i="13"/>
  <c r="I156" i="13" s="1"/>
  <c r="H156" i="13"/>
  <c r="G156" i="13"/>
  <c r="F158" i="13" l="1"/>
  <c r="J157" i="13"/>
  <c r="H157" i="13"/>
  <c r="G157" i="13"/>
  <c r="J158" i="13" l="1"/>
  <c r="I158" i="13" s="1"/>
  <c r="F159" i="13"/>
  <c r="H158" i="13"/>
  <c r="G158" i="13"/>
  <c r="J159" i="13" l="1"/>
  <c r="I159" i="13" s="1"/>
  <c r="F160" i="13"/>
  <c r="H159" i="13"/>
  <c r="G159" i="13"/>
  <c r="F161" i="13" l="1"/>
  <c r="J160" i="13"/>
  <c r="I160" i="13" s="1"/>
  <c r="H160" i="13"/>
  <c r="G160" i="13"/>
  <c r="F162" i="13" l="1"/>
  <c r="J161" i="13"/>
  <c r="I161" i="13" s="1"/>
  <c r="H161" i="13"/>
  <c r="G161" i="13"/>
  <c r="J162" i="13" l="1"/>
  <c r="I162" i="13" s="1"/>
  <c r="F163" i="13"/>
  <c r="H162" i="13"/>
  <c r="G162" i="13"/>
  <c r="J163" i="13" l="1"/>
  <c r="I163" i="13" s="1"/>
  <c r="F164" i="13"/>
  <c r="H163" i="13"/>
  <c r="G163" i="13"/>
  <c r="J164" i="13" l="1"/>
  <c r="I164" i="13" s="1"/>
  <c r="F165" i="13"/>
  <c r="H164" i="13"/>
  <c r="G164" i="13"/>
  <c r="F166" i="13" l="1"/>
  <c r="J165" i="13"/>
  <c r="I165" i="13" s="1"/>
  <c r="H165" i="13"/>
  <c r="G165" i="13"/>
  <c r="J166" i="13" l="1"/>
  <c r="F167" i="13"/>
  <c r="H166" i="13"/>
  <c r="G166" i="13"/>
  <c r="F168" i="13" l="1"/>
  <c r="J167" i="13"/>
  <c r="I167" i="13" s="1"/>
  <c r="H167" i="13"/>
  <c r="G167" i="13"/>
  <c r="F169" i="13" l="1"/>
  <c r="J168" i="13"/>
  <c r="I168" i="13" s="1"/>
  <c r="H168" i="13"/>
  <c r="G168" i="13"/>
  <c r="F170" i="13" l="1"/>
  <c r="J169" i="13"/>
  <c r="I169" i="13" s="1"/>
  <c r="H169" i="13"/>
  <c r="G169" i="13"/>
  <c r="J170" i="13" l="1"/>
  <c r="I170" i="13" s="1"/>
  <c r="F171" i="13"/>
  <c r="H170" i="13"/>
  <c r="G170" i="13"/>
  <c r="F172" i="13" l="1"/>
  <c r="J171" i="13"/>
  <c r="I171" i="13" s="1"/>
  <c r="H171" i="13"/>
  <c r="G171" i="13"/>
  <c r="F173" i="13" l="1"/>
  <c r="J172" i="13"/>
  <c r="I172" i="13" s="1"/>
  <c r="H172" i="13"/>
  <c r="G172" i="13"/>
  <c r="F174" i="13" l="1"/>
  <c r="J173" i="13"/>
  <c r="I173" i="13" s="1"/>
  <c r="H173" i="13"/>
  <c r="G173" i="13"/>
  <c r="J174" i="13" l="1"/>
  <c r="I174" i="13" s="1"/>
  <c r="F175" i="13"/>
  <c r="H174" i="13"/>
  <c r="G174" i="13"/>
  <c r="F176" i="13" l="1"/>
  <c r="J175" i="13"/>
  <c r="I175" i="13" s="1"/>
  <c r="H175" i="13"/>
  <c r="G175" i="13"/>
  <c r="J176" i="13" l="1"/>
  <c r="I176" i="13" s="1"/>
  <c r="F177" i="13"/>
  <c r="H176" i="13"/>
  <c r="G176" i="13"/>
  <c r="F178" i="13" l="1"/>
  <c r="J177" i="13"/>
  <c r="I177" i="13" s="1"/>
  <c r="H177" i="13"/>
  <c r="G177" i="13"/>
  <c r="J178" i="13" l="1"/>
  <c r="I178" i="13" s="1"/>
  <c r="F179" i="13"/>
  <c r="H178" i="13"/>
  <c r="G178" i="13"/>
  <c r="J179" i="13" l="1"/>
  <c r="I179" i="13" s="1"/>
  <c r="F180" i="13"/>
  <c r="H179" i="13"/>
  <c r="O153" i="13" s="1"/>
  <c r="G179" i="13"/>
  <c r="Q153" i="13" s="1"/>
  <c r="J180" i="13" l="1"/>
  <c r="I180" i="13" s="1"/>
  <c r="F181" i="13"/>
  <c r="H180" i="13"/>
  <c r="G180" i="13"/>
  <c r="F182" i="13" l="1"/>
  <c r="J181" i="13"/>
  <c r="I181" i="13" s="1"/>
  <c r="H181" i="13"/>
  <c r="G181" i="13"/>
  <c r="J182" i="13" l="1"/>
  <c r="I182" i="13" s="1"/>
  <c r="F183" i="13"/>
  <c r="H182" i="13"/>
  <c r="G182" i="13"/>
  <c r="F184" i="13" l="1"/>
  <c r="J183" i="13"/>
  <c r="I183" i="13" s="1"/>
  <c r="H183" i="13"/>
  <c r="G183" i="13"/>
  <c r="F185" i="13" l="1"/>
  <c r="J184" i="13"/>
  <c r="I184" i="13" s="1"/>
  <c r="H184" i="13"/>
  <c r="G184" i="13"/>
  <c r="F186" i="13" l="1"/>
  <c r="J185" i="13"/>
  <c r="I185" i="13" s="1"/>
  <c r="H185" i="13"/>
  <c r="G185" i="13"/>
  <c r="J186" i="13" l="1"/>
  <c r="I186" i="13" s="1"/>
  <c r="F187" i="13"/>
  <c r="H186" i="13"/>
  <c r="G186" i="13"/>
  <c r="F188" i="13" l="1"/>
  <c r="J187" i="13"/>
  <c r="I187" i="13" s="1"/>
  <c r="H187" i="13"/>
  <c r="G187" i="13"/>
  <c r="F189" i="13" l="1"/>
  <c r="J188" i="13"/>
  <c r="I188" i="13" s="1"/>
  <c r="H188" i="13"/>
  <c r="G188" i="13"/>
  <c r="F190" i="13" l="1"/>
  <c r="J189" i="13"/>
  <c r="I189" i="13" s="1"/>
  <c r="H189" i="13"/>
  <c r="G189" i="13"/>
  <c r="J190" i="13" l="1"/>
  <c r="I190" i="13" s="1"/>
  <c r="F191" i="13"/>
  <c r="H190" i="13"/>
  <c r="G190" i="13"/>
  <c r="F192" i="13" l="1"/>
  <c r="J191" i="13"/>
  <c r="I191" i="13" s="1"/>
  <c r="H191" i="13"/>
  <c r="G191" i="13"/>
  <c r="F193" i="13" l="1"/>
  <c r="J192" i="13"/>
  <c r="I192" i="13" s="1"/>
  <c r="H192" i="13"/>
  <c r="G192" i="13"/>
  <c r="F194" i="13" l="1"/>
  <c r="J193" i="13"/>
  <c r="I193" i="13" s="1"/>
  <c r="H193" i="13"/>
  <c r="G193" i="13"/>
  <c r="J194" i="13" l="1"/>
  <c r="F195" i="13"/>
  <c r="H194" i="13"/>
  <c r="G194" i="13"/>
  <c r="J195" i="13" l="1"/>
  <c r="I195" i="13" s="1"/>
  <c r="F196" i="13"/>
  <c r="H195" i="13"/>
  <c r="G195" i="13"/>
  <c r="J196" i="13" l="1"/>
  <c r="I196" i="13" s="1"/>
  <c r="F197" i="13"/>
  <c r="H196" i="13"/>
  <c r="G196" i="13"/>
  <c r="F198" i="13" l="1"/>
  <c r="J197" i="13"/>
  <c r="I197" i="13" s="1"/>
  <c r="H197" i="13"/>
  <c r="G197" i="13"/>
  <c r="J198" i="13" l="1"/>
  <c r="I198" i="13" s="1"/>
  <c r="F199" i="13"/>
  <c r="H198" i="13"/>
  <c r="G198" i="13"/>
  <c r="F200" i="13" l="1"/>
  <c r="J199" i="13"/>
  <c r="I199" i="13" s="1"/>
  <c r="H199" i="13"/>
  <c r="G199" i="13"/>
  <c r="F201" i="13" l="1"/>
  <c r="J200" i="13"/>
  <c r="I200" i="13" s="1"/>
  <c r="H200" i="13"/>
  <c r="G200" i="13"/>
  <c r="F202" i="13" l="1"/>
  <c r="J201" i="13"/>
  <c r="H201" i="13"/>
  <c r="G201" i="13"/>
  <c r="J202" i="13" l="1"/>
  <c r="I202" i="13" s="1"/>
  <c r="F203" i="13"/>
  <c r="H202" i="13"/>
  <c r="G202" i="13"/>
  <c r="F204" i="13" l="1"/>
  <c r="J203" i="13"/>
  <c r="H203" i="13"/>
  <c r="G203" i="13"/>
  <c r="F205" i="13" l="1"/>
  <c r="J204" i="13"/>
  <c r="H204" i="13"/>
  <c r="O154" i="13" s="1"/>
  <c r="G204" i="13"/>
  <c r="Q154" i="13" s="1"/>
  <c r="F206" i="13" l="1"/>
  <c r="J205" i="13"/>
  <c r="I205" i="13" s="1"/>
  <c r="H205" i="13"/>
  <c r="G205" i="13"/>
  <c r="J206" i="13" l="1"/>
  <c r="I206" i="13" s="1"/>
  <c r="F207" i="13"/>
  <c r="H206" i="13"/>
  <c r="G206" i="13"/>
  <c r="F208" i="13" l="1"/>
  <c r="J207" i="13"/>
  <c r="I207" i="13" s="1"/>
  <c r="H207" i="13"/>
  <c r="G207" i="13"/>
  <c r="F209" i="13" l="1"/>
  <c r="J208" i="13"/>
  <c r="I208" i="13" s="1"/>
  <c r="H208" i="13"/>
  <c r="G208" i="13"/>
  <c r="F210" i="13" l="1"/>
  <c r="J209" i="13"/>
  <c r="H209" i="13"/>
  <c r="G209" i="13"/>
  <c r="J210" i="13" l="1"/>
  <c r="I210" i="13" s="1"/>
  <c r="F211" i="13"/>
  <c r="H210" i="13"/>
  <c r="G210" i="13"/>
  <c r="J211" i="13" l="1"/>
  <c r="I211" i="13" s="1"/>
  <c r="F212" i="13"/>
  <c r="H211" i="13"/>
  <c r="G211" i="13"/>
  <c r="F213" i="13" l="1"/>
  <c r="J212" i="13"/>
  <c r="I212" i="13" s="1"/>
  <c r="H212" i="13"/>
  <c r="G212" i="13"/>
  <c r="F214" i="13" l="1"/>
  <c r="J213" i="13"/>
  <c r="I213" i="13" s="1"/>
  <c r="H213" i="13"/>
  <c r="G213" i="13"/>
  <c r="F215" i="13" l="1"/>
  <c r="J214" i="13"/>
  <c r="I214" i="13" s="1"/>
  <c r="H214" i="13"/>
  <c r="G214" i="13"/>
  <c r="J215" i="13" l="1"/>
  <c r="I215" i="13" s="1"/>
  <c r="F216" i="13"/>
  <c r="H215" i="13"/>
  <c r="G215" i="13"/>
  <c r="F217" i="13" l="1"/>
  <c r="J216" i="13"/>
  <c r="I216" i="13" s="1"/>
  <c r="H216" i="13"/>
  <c r="G216" i="13"/>
  <c r="F218" i="13" l="1"/>
  <c r="J217" i="13"/>
  <c r="I217" i="13" s="1"/>
  <c r="H217" i="13"/>
  <c r="G217" i="13"/>
  <c r="F219" i="13" l="1"/>
  <c r="J218" i="13"/>
  <c r="I218" i="13" s="1"/>
  <c r="H218" i="13"/>
  <c r="G218" i="13"/>
  <c r="J219" i="13" l="1"/>
  <c r="I219" i="13" s="1"/>
  <c r="F220" i="13"/>
  <c r="H219" i="13"/>
  <c r="G219" i="13"/>
  <c r="F221" i="13" l="1"/>
  <c r="J220" i="13"/>
  <c r="I220" i="13" s="1"/>
  <c r="H220" i="13"/>
  <c r="G220" i="13"/>
  <c r="F222" i="13" l="1"/>
  <c r="J221" i="13"/>
  <c r="I221" i="13" s="1"/>
  <c r="H221" i="13"/>
  <c r="G221" i="13"/>
  <c r="F223" i="13" l="1"/>
  <c r="J222" i="13"/>
  <c r="I222" i="13" s="1"/>
  <c r="H222" i="13"/>
  <c r="G222" i="13"/>
  <c r="J223" i="13" l="1"/>
  <c r="I223" i="13" s="1"/>
  <c r="F224" i="13"/>
  <c r="H223" i="13"/>
  <c r="G223" i="13"/>
  <c r="F225" i="13" l="1"/>
  <c r="J224" i="13"/>
  <c r="I224" i="13" s="1"/>
  <c r="H224" i="13"/>
  <c r="G224" i="13"/>
  <c r="F226" i="13" l="1"/>
  <c r="J225" i="13"/>
  <c r="I225" i="13" s="1"/>
  <c r="H225" i="13"/>
  <c r="G225" i="13"/>
  <c r="F227" i="13" l="1"/>
  <c r="J226" i="13"/>
  <c r="I226" i="13" s="1"/>
  <c r="H226" i="13"/>
  <c r="G226" i="13"/>
  <c r="J227" i="13" l="1"/>
  <c r="I227" i="13" s="1"/>
  <c r="F228" i="13"/>
  <c r="H227" i="13"/>
  <c r="G227" i="13"/>
  <c r="F229" i="13" l="1"/>
  <c r="J228" i="13"/>
  <c r="I228" i="13" s="1"/>
  <c r="H228" i="13"/>
  <c r="G228" i="13"/>
  <c r="F230" i="13" l="1"/>
  <c r="J229" i="13"/>
  <c r="I229" i="13" s="1"/>
  <c r="H229" i="13"/>
  <c r="O155" i="13" s="1"/>
  <c r="G229" i="13"/>
  <c r="Q155" i="13" s="1"/>
  <c r="F231" i="13" l="1"/>
  <c r="J230" i="13"/>
  <c r="I230" i="13" s="1"/>
  <c r="H230" i="13"/>
  <c r="G230" i="13"/>
  <c r="J231" i="13" l="1"/>
  <c r="I231" i="13" s="1"/>
  <c r="F232" i="13"/>
  <c r="H231" i="13"/>
  <c r="G231" i="13"/>
  <c r="F233" i="13" l="1"/>
  <c r="J232" i="13"/>
  <c r="I232" i="13" s="1"/>
  <c r="H232" i="13"/>
  <c r="G232" i="13"/>
  <c r="F234" i="13" l="1"/>
  <c r="J233" i="13"/>
  <c r="I233" i="13" s="1"/>
  <c r="H233" i="13"/>
  <c r="G233" i="13"/>
  <c r="F235" i="13" l="1"/>
  <c r="J234" i="13"/>
  <c r="I234" i="13" s="1"/>
  <c r="H234" i="13"/>
  <c r="G234" i="13"/>
  <c r="J235" i="13" l="1"/>
  <c r="I235" i="13" s="1"/>
  <c r="F236" i="13"/>
  <c r="H235" i="13"/>
  <c r="G235" i="13"/>
  <c r="F237" i="13" l="1"/>
  <c r="J236" i="13"/>
  <c r="H236" i="13"/>
  <c r="G236" i="13"/>
  <c r="F238" i="13" l="1"/>
  <c r="J237" i="13"/>
  <c r="I237" i="13" s="1"/>
  <c r="H237" i="13"/>
  <c r="G237" i="13"/>
  <c r="F239" i="13" l="1"/>
  <c r="J238" i="13"/>
  <c r="I238" i="13" s="1"/>
  <c r="H238" i="13"/>
  <c r="G238" i="13"/>
  <c r="J239" i="13" l="1"/>
  <c r="I239" i="13" s="1"/>
  <c r="F240" i="13"/>
  <c r="H239" i="13"/>
  <c r="G239" i="13"/>
  <c r="F241" i="13" l="1"/>
  <c r="J240" i="13"/>
  <c r="I240" i="13" s="1"/>
  <c r="H240" i="13"/>
  <c r="G240" i="13"/>
  <c r="F242" i="13" l="1"/>
  <c r="J241" i="13"/>
  <c r="I241" i="13" s="1"/>
  <c r="H241" i="13"/>
  <c r="G241" i="13"/>
  <c r="F243" i="13" l="1"/>
  <c r="J242" i="13"/>
  <c r="I242" i="13" s="1"/>
  <c r="H242" i="13"/>
  <c r="G242" i="13"/>
  <c r="J243" i="13" l="1"/>
  <c r="I243" i="13" s="1"/>
  <c r="F244" i="13"/>
  <c r="H243" i="13"/>
  <c r="G243" i="13"/>
  <c r="F245" i="13" l="1"/>
  <c r="J244" i="13"/>
  <c r="I244" i="13" s="1"/>
  <c r="H244" i="13"/>
  <c r="G244" i="13"/>
  <c r="F246" i="13" l="1"/>
  <c r="J245" i="13"/>
  <c r="I245" i="13" s="1"/>
  <c r="H245" i="13"/>
  <c r="G245" i="13"/>
  <c r="F247" i="13" l="1"/>
  <c r="J246" i="13"/>
  <c r="I246" i="13" s="1"/>
  <c r="H246" i="13"/>
  <c r="G246" i="13"/>
  <c r="J247" i="13" l="1"/>
  <c r="I247" i="13" s="1"/>
  <c r="F248" i="13"/>
  <c r="H247" i="13"/>
  <c r="G247" i="13"/>
  <c r="F249" i="13" l="1"/>
  <c r="J248" i="13"/>
  <c r="I248" i="13" s="1"/>
  <c r="H248" i="13"/>
  <c r="G248" i="13"/>
  <c r="F250" i="13" l="1"/>
  <c r="J249" i="13"/>
  <c r="I249" i="13" s="1"/>
  <c r="H249" i="13"/>
  <c r="G249" i="13"/>
  <c r="F251" i="13" l="1"/>
  <c r="J250" i="13"/>
  <c r="I250" i="13" s="1"/>
  <c r="H250" i="13"/>
  <c r="G250" i="13"/>
  <c r="J251" i="13" l="1"/>
  <c r="I251" i="13" s="1"/>
  <c r="F252" i="13"/>
  <c r="H251" i="13"/>
  <c r="G251" i="13"/>
  <c r="F253" i="13" l="1"/>
  <c r="J252" i="13"/>
  <c r="I252" i="13" s="1"/>
  <c r="H252" i="13"/>
  <c r="G252" i="13"/>
  <c r="F254" i="13" l="1"/>
  <c r="J253" i="13"/>
  <c r="I253" i="13" s="1"/>
  <c r="H253" i="13"/>
  <c r="G253" i="13"/>
  <c r="F255" i="13" l="1"/>
  <c r="J254" i="13"/>
  <c r="I254" i="13" s="1"/>
  <c r="H254" i="13"/>
  <c r="G254" i="13"/>
  <c r="O156" i="13" l="1"/>
  <c r="Q156" i="13"/>
  <c r="J255" i="13"/>
  <c r="I255" i="13" s="1"/>
  <c r="F256" i="13"/>
  <c r="H255" i="13"/>
  <c r="G255" i="13"/>
  <c r="F257" i="13" l="1"/>
  <c r="J256" i="13"/>
  <c r="I256" i="13" s="1"/>
  <c r="H256" i="13"/>
  <c r="G256" i="13"/>
  <c r="F258" i="13" l="1"/>
  <c r="J257" i="13"/>
  <c r="I257" i="13" s="1"/>
  <c r="H257" i="13"/>
  <c r="G257" i="13"/>
  <c r="F259" i="13" l="1"/>
  <c r="J258" i="13"/>
  <c r="I258" i="13" s="1"/>
  <c r="H258" i="13"/>
  <c r="G258" i="13"/>
  <c r="J259" i="13" l="1"/>
  <c r="I259" i="13" s="1"/>
  <c r="F260" i="13"/>
  <c r="H259" i="13"/>
  <c r="G259" i="13"/>
  <c r="F261" i="13" l="1"/>
  <c r="J260" i="13"/>
  <c r="I260" i="13" s="1"/>
  <c r="H260" i="13"/>
  <c r="G260" i="13"/>
  <c r="F262" i="13" l="1"/>
  <c r="J261" i="13"/>
  <c r="I261" i="13" s="1"/>
  <c r="H261" i="13"/>
  <c r="G261" i="13"/>
  <c r="F263" i="13" l="1"/>
  <c r="J262" i="13"/>
  <c r="I262" i="13" s="1"/>
  <c r="H262" i="13"/>
  <c r="G262" i="13"/>
  <c r="J263" i="13" l="1"/>
  <c r="F264" i="13"/>
  <c r="H263" i="13"/>
  <c r="G263" i="13"/>
  <c r="F265" i="13" l="1"/>
  <c r="J264" i="13"/>
  <c r="I264" i="13" s="1"/>
  <c r="H264" i="13"/>
  <c r="G264" i="13"/>
  <c r="F266" i="13" l="1"/>
  <c r="J265" i="13"/>
  <c r="I265" i="13" s="1"/>
  <c r="H265" i="13"/>
  <c r="G265" i="13"/>
  <c r="F267" i="13" l="1"/>
  <c r="J266" i="13"/>
  <c r="I266" i="13" s="1"/>
  <c r="H266" i="13"/>
  <c r="G266" i="13"/>
  <c r="J267" i="13" l="1"/>
  <c r="I267" i="13" s="1"/>
  <c r="F268" i="13"/>
  <c r="H267" i="13"/>
  <c r="G267" i="13"/>
  <c r="F269" i="13" l="1"/>
  <c r="J268" i="13"/>
  <c r="I268" i="13" s="1"/>
  <c r="H268" i="13"/>
  <c r="G268" i="13"/>
  <c r="F270" i="13" l="1"/>
  <c r="J269" i="13"/>
  <c r="I269" i="13" s="1"/>
  <c r="H269" i="13"/>
  <c r="G269" i="13"/>
  <c r="F271" i="13" l="1"/>
  <c r="J270" i="13"/>
  <c r="I270" i="13" s="1"/>
  <c r="H270" i="13"/>
  <c r="G270" i="13"/>
  <c r="J271" i="13" l="1"/>
  <c r="I271" i="13" s="1"/>
  <c r="F272" i="13"/>
  <c r="H271" i="13"/>
  <c r="G271" i="13"/>
  <c r="F273" i="13" l="1"/>
  <c r="J272" i="13"/>
  <c r="I272" i="13" s="1"/>
  <c r="H272" i="13"/>
  <c r="G272" i="13"/>
  <c r="F274" i="13" l="1"/>
  <c r="J273" i="13"/>
  <c r="I273" i="13" s="1"/>
  <c r="H273" i="13"/>
  <c r="G273" i="13"/>
  <c r="F275" i="13" l="1"/>
  <c r="J274" i="13"/>
  <c r="I274" i="13" s="1"/>
  <c r="H274" i="13"/>
  <c r="G274" i="13"/>
  <c r="J275" i="13" l="1"/>
  <c r="I275" i="13" s="1"/>
  <c r="F276" i="13"/>
  <c r="H275" i="13"/>
  <c r="G275" i="13"/>
  <c r="F277" i="13" l="1"/>
  <c r="J276" i="13"/>
  <c r="I276" i="13" s="1"/>
  <c r="H276" i="13"/>
  <c r="G276" i="13"/>
  <c r="F278" i="13" l="1"/>
  <c r="J277" i="13"/>
  <c r="I277" i="13" s="1"/>
  <c r="H277" i="13"/>
  <c r="G277" i="13"/>
  <c r="F279" i="13" l="1"/>
  <c r="J278" i="13"/>
  <c r="I278" i="13" s="1"/>
  <c r="H278" i="13"/>
  <c r="G278" i="13"/>
  <c r="J279" i="13" l="1"/>
  <c r="I279" i="13" s="1"/>
  <c r="H279" i="13"/>
  <c r="O157" i="13" s="1"/>
  <c r="O159" i="13" s="1"/>
  <c r="G279" i="13"/>
  <c r="Q157" i="13" s="1"/>
  <c r="Q159" i="13" s="1"/>
  <c r="S159" i="13" l="1"/>
  <c r="I80" i="13" l="1"/>
  <c r="I81" i="13"/>
  <c r="I157" i="13"/>
  <c r="I203" i="13"/>
  <c r="I146" i="13"/>
  <c r="I204" i="13"/>
  <c r="I151" i="13"/>
  <c r="I209" i="13"/>
  <c r="I166" i="13"/>
  <c r="I194" i="13"/>
  <c r="I154" i="13"/>
  <c r="I201" i="13"/>
  <c r="I97" i="13"/>
  <c r="I263" i="13"/>
  <c r="I119" i="13"/>
  <c r="I23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Reischl Christian QI92</author>
    <author>Geier Gerhard DIS-I510</author>
  </authors>
  <commentList>
    <comment ref="J3" authorId="0" shapeId="0" xr:uid="{00000000-0006-0000-0100-000001000000}">
      <text>
        <r>
          <rPr>
            <b/>
            <sz val="8"/>
            <color indexed="81"/>
            <rFont val="Tahoma"/>
            <family val="2"/>
          </rPr>
          <t>Test equipment name:</t>
        </r>
        <r>
          <rPr>
            <sz val="8"/>
            <color indexed="81"/>
            <rFont val="Tahoma"/>
            <family val="2"/>
          </rPr>
          <t xml:space="preserve">
Designation according to the norm or manufacturer</t>
        </r>
      </text>
    </comment>
    <comment ref="J5" authorId="0" shapeId="0" xr:uid="{00000000-0006-0000-0100-000002000000}">
      <text>
        <r>
          <rPr>
            <b/>
            <sz val="8"/>
            <color indexed="81"/>
            <rFont val="Tahoma"/>
            <family val="2"/>
          </rPr>
          <t>Inspection/Equipment no.</t>
        </r>
        <r>
          <rPr>
            <sz val="8"/>
            <color indexed="81"/>
            <rFont val="Tahoma"/>
            <family val="2"/>
          </rPr>
          <t xml:space="preserve">
Qsys 6-digit PM No. or
SAP 10-digit Equipment No.</t>
        </r>
      </text>
    </comment>
    <comment ref="J6" authorId="1" shapeId="0" xr:uid="{00000000-0006-0000-0100-000003000000}">
      <text>
        <r>
          <rPr>
            <b/>
            <sz val="8"/>
            <rFont val="Tahoma"/>
            <family val="2"/>
          </rPr>
          <t xml:space="preserve">Type
</t>
        </r>
        <r>
          <rPr>
            <sz val="8"/>
            <color indexed="81"/>
            <rFont val="Tahoma"/>
            <family val="2"/>
          </rPr>
          <t>general description of the type according to the norm or manufacturer</t>
        </r>
      </text>
    </comment>
    <comment ref="J7" authorId="0" shapeId="0" xr:uid="{00000000-0006-0000-0100-000004000000}">
      <text>
        <r>
          <rPr>
            <b/>
            <sz val="8"/>
            <color indexed="81"/>
            <rFont val="Tahoma"/>
            <family val="2"/>
          </rPr>
          <t xml:space="preserve">Display resolution:
</t>
        </r>
        <r>
          <rPr>
            <sz val="8"/>
            <color indexed="81"/>
            <rFont val="Tahoma"/>
            <family val="2"/>
          </rPr>
          <t>smallest scale value
If no resolution exists, then "not relevant" has to be entered.</t>
        </r>
      </text>
    </comment>
    <comment ref="R7" authorId="0" shapeId="0" xr:uid="{00000000-0006-0000-0100-000005000000}">
      <text>
        <r>
          <rPr>
            <b/>
            <sz val="8"/>
            <color indexed="81"/>
            <rFont val="Tahoma"/>
            <family val="2"/>
          </rPr>
          <t xml:space="preserve">Resolution:
</t>
        </r>
        <r>
          <rPr>
            <sz val="8"/>
            <color indexed="81"/>
            <rFont val="Tahoma"/>
            <family val="2"/>
          </rPr>
          <t>RE / TOL ≤ 5%
In the case of not fulfill, a justification and if it´s necessary, the further procedure has to be described in the "text field for remark".</t>
        </r>
      </text>
    </comment>
    <comment ref="J8" authorId="1" shapeId="0" xr:uid="{00000000-0006-0000-0100-000006000000}">
      <text>
        <r>
          <rPr>
            <b/>
            <sz val="8"/>
            <rFont val="Tahoma"/>
            <family val="2"/>
          </rPr>
          <t xml:space="preserve">Group No.:
</t>
        </r>
        <r>
          <rPr>
            <sz val="8"/>
            <color indexed="81"/>
            <rFont val="Tahoma"/>
            <family val="2"/>
          </rPr>
          <t xml:space="preserve">No. of the test equipment group in the IT system (QSYS) </t>
        </r>
      </text>
    </comment>
    <comment ref="J10" authorId="1" shapeId="0" xr:uid="{00000000-0006-0000-0100-000007000000}">
      <text>
        <r>
          <rPr>
            <b/>
            <sz val="8"/>
            <rFont val="Tahoma"/>
            <family val="2"/>
          </rPr>
          <t xml:space="preserve">Standard/Master:
</t>
        </r>
        <r>
          <rPr>
            <sz val="8"/>
            <color indexed="81"/>
            <rFont val="Tahoma"/>
            <family val="2"/>
          </rPr>
          <t>for the reference device or part used for the measurement series</t>
        </r>
      </text>
    </comment>
    <comment ref="J11" authorId="1" shapeId="0" xr:uid="{00000000-0006-0000-0100-000008000000}">
      <text>
        <r>
          <rPr>
            <b/>
            <sz val="8"/>
            <rFont val="Tahoma"/>
            <family val="2"/>
          </rPr>
          <t xml:space="preserve">Standard measurement uncertainty
</t>
        </r>
        <r>
          <rPr>
            <sz val="8"/>
            <color indexed="81"/>
            <rFont val="Tahoma"/>
            <family val="2"/>
          </rPr>
          <t>can be taken from the calibration certificate</t>
        </r>
      </text>
    </comment>
    <comment ref="J13" authorId="1" shapeId="0" xr:uid="{00000000-0006-0000-0100-000009000000}">
      <text>
        <r>
          <rPr>
            <b/>
            <sz val="8"/>
            <rFont val="Tahoma"/>
            <family val="2"/>
          </rPr>
          <t xml:space="preserve">Charcteristic
</t>
        </r>
        <r>
          <rPr>
            <sz val="8"/>
            <color indexed="81"/>
            <rFont val="Tahoma"/>
            <family val="2"/>
          </rPr>
          <t xml:space="preserve">product characteristic used for the conformity test </t>
        </r>
      </text>
    </comment>
    <comment ref="I60" authorId="1" shapeId="0" xr:uid="{00000000-0006-0000-0100-00000A000000}">
      <text>
        <r>
          <rPr>
            <b/>
            <sz val="8"/>
            <rFont val="Tahoma"/>
            <family val="2"/>
          </rPr>
          <t xml:space="preserve">Range (%)
</t>
        </r>
        <r>
          <rPr>
            <sz val="8"/>
            <color indexed="81"/>
            <rFont val="Tahoma"/>
            <family val="2"/>
          </rPr>
          <t>percentage of range in the measurement system with a confidence range of 99% or 99.99%
(relationship of range to tolerance amplitude)</t>
        </r>
      </text>
    </comment>
    <comment ref="R60" authorId="1" shapeId="0" xr:uid="{00000000-0006-0000-0100-00000B000000}">
      <text>
        <r>
          <rPr>
            <b/>
            <sz val="8"/>
            <rFont val="Tahoma"/>
            <family val="2"/>
          </rPr>
          <t xml:space="preserve">Range (%)
</t>
        </r>
        <r>
          <rPr>
            <sz val="8"/>
            <color indexed="81"/>
            <rFont val="Tahoma"/>
            <family val="2"/>
          </rPr>
          <t>percentage of range in the measurement system with a confidence range of 99% or 99.99%
(relationship of range to tolerance amplitude)</t>
        </r>
      </text>
    </comment>
  </commentList>
</comments>
</file>

<file path=xl/sharedStrings.xml><?xml version="1.0" encoding="utf-8"?>
<sst xmlns="http://schemas.openxmlformats.org/spreadsheetml/2006/main" count="228" uniqueCount="170">
  <si>
    <t>Document Log</t>
  </si>
  <si>
    <t>Description:</t>
  </si>
  <si>
    <t>Change Description:</t>
  </si>
  <si>
    <t>Version</t>
  </si>
  <si>
    <t>Change description</t>
  </si>
  <si>
    <t>Changed by</t>
  </si>
  <si>
    <t>Change date</t>
  </si>
  <si>
    <t>Information Class:</t>
  </si>
  <si>
    <t>Sollwert</t>
  </si>
  <si>
    <t>Datenanalyse</t>
  </si>
  <si>
    <t>Maximum:</t>
  </si>
  <si>
    <t>Mittelwert:</t>
  </si>
  <si>
    <t>Sollmittelwert</t>
  </si>
  <si>
    <t>Minimum:</t>
  </si>
  <si>
    <t>Standardabw.</t>
  </si>
  <si>
    <t>Soll Standard</t>
  </si>
  <si>
    <t>obere Toleranz</t>
  </si>
  <si>
    <t>Max - Min</t>
  </si>
  <si>
    <t>Soll UGW</t>
  </si>
  <si>
    <t>untere Toleranz</t>
  </si>
  <si>
    <t>Soll  OGW</t>
  </si>
  <si>
    <t>OG</t>
  </si>
  <si>
    <t>system. Meßabweichung</t>
  </si>
  <si>
    <t>Toleranzbreite</t>
  </si>
  <si>
    <t>UG</t>
  </si>
  <si>
    <t>mögliche Toleranzbreite</t>
  </si>
  <si>
    <t>Toleranzspanne</t>
  </si>
  <si>
    <t>mögliche +/- Toleranz</t>
  </si>
  <si>
    <t>Ergebnisberechnung:</t>
  </si>
  <si>
    <t>minl Cg</t>
  </si>
  <si>
    <t>4s</t>
  </si>
  <si>
    <t>min cgk</t>
  </si>
  <si>
    <t>Xq-6s</t>
  </si>
  <si>
    <t>6s</t>
  </si>
  <si>
    <t>OGW - Mittelw</t>
  </si>
  <si>
    <t>Cg</t>
  </si>
  <si>
    <t>Cg Bewert</t>
  </si>
  <si>
    <t>Xq-5s</t>
  </si>
  <si>
    <t>3s</t>
  </si>
  <si>
    <t>Mittelw - UGW</t>
  </si>
  <si>
    <t>Cgk oben</t>
  </si>
  <si>
    <t>Cgk o Bewert</t>
  </si>
  <si>
    <t>Xq-4s</t>
  </si>
  <si>
    <t>2s</t>
  </si>
  <si>
    <t>Cgk unten</t>
  </si>
  <si>
    <t>Cgk u Bewert</t>
  </si>
  <si>
    <t>Xq-3s</t>
  </si>
  <si>
    <t>Ergebnisbew.</t>
  </si>
  <si>
    <t>Xq-2s</t>
  </si>
  <si>
    <t>Erg.- Beurteil</t>
  </si>
  <si>
    <t>Erg.-Beurteil2</t>
  </si>
  <si>
    <t>Xq-1s</t>
  </si>
  <si>
    <t>Xq</t>
  </si>
  <si>
    <t>Auflösung-Berechnung:</t>
  </si>
  <si>
    <t>Tol.Spanne</t>
  </si>
  <si>
    <t>% Toleranz</t>
  </si>
  <si>
    <t>Xq+1s</t>
  </si>
  <si>
    <t>Xq+2s</t>
  </si>
  <si>
    <t>Klassenberchnung</t>
  </si>
  <si>
    <t>Diagrammdaten Klassen</t>
  </si>
  <si>
    <t>Xq+3s</t>
  </si>
  <si>
    <t>Anzahl</t>
  </si>
  <si>
    <t>Summe</t>
  </si>
  <si>
    <t>Xq+4s</t>
  </si>
  <si>
    <t>Xq+5s</t>
  </si>
  <si>
    <t>Xq+6s</t>
  </si>
  <si>
    <t>Bezug der Auswertung</t>
  </si>
  <si>
    <t>Cg/Cgk min:</t>
  </si>
  <si>
    <t>Grenzwerte</t>
  </si>
  <si>
    <t>Sollwert-</t>
  </si>
  <si>
    <t>Streubreite</t>
  </si>
  <si>
    <t>mittelung</t>
  </si>
  <si>
    <t>cg</t>
  </si>
  <si>
    <t>cgk</t>
  </si>
  <si>
    <t>Text zu Grenzwerte</t>
  </si>
  <si>
    <t>cg (1,33)</t>
  </si>
  <si>
    <t>obere Grenze (+0,10*T)</t>
  </si>
  <si>
    <t>cgk (1,33)</t>
  </si>
  <si>
    <t>untere Grenze (-0,10*T)</t>
  </si>
  <si>
    <t>obere Grenze</t>
  </si>
  <si>
    <t>untere Grenze</t>
  </si>
  <si>
    <t>Cg:</t>
  </si>
  <si>
    <t>Cgk:</t>
  </si>
  <si>
    <t>Gesamtauswertung</t>
  </si>
  <si>
    <t>Berechnung Normalverteilung</t>
  </si>
  <si>
    <t>IST</t>
  </si>
  <si>
    <t>Soll</t>
  </si>
  <si>
    <t>Grenzen</t>
  </si>
  <si>
    <t>Startwert:</t>
  </si>
  <si>
    <t>Nr</t>
  </si>
  <si>
    <t>X-Wert</t>
  </si>
  <si>
    <t>Y-wert</t>
  </si>
  <si>
    <t>Y-Wert</t>
  </si>
  <si>
    <t>Schrittweite:</t>
  </si>
  <si>
    <t>Max</t>
  </si>
  <si>
    <t>MIN</t>
  </si>
  <si>
    <t>Xqsoll+6s</t>
  </si>
  <si>
    <t>Xqsoll-6s</t>
  </si>
  <si>
    <t>Zwischenergebnisse</t>
  </si>
  <si>
    <t>a)</t>
  </si>
  <si>
    <t>b)</t>
  </si>
  <si>
    <t>zu Datenanalyse</t>
  </si>
  <si>
    <t>Werte</t>
  </si>
  <si>
    <t>Xq-x</t>
  </si>
  <si>
    <t>Summe a)</t>
  </si>
  <si>
    <t>1bis 25</t>
  </si>
  <si>
    <t>26 bis 50</t>
  </si>
  <si>
    <t>1 bis 50</t>
  </si>
  <si>
    <t>Werte von</t>
  </si>
  <si>
    <t>Quadrat</t>
  </si>
  <si>
    <t>1 bis 25</t>
  </si>
  <si>
    <t>Summe b)</t>
  </si>
  <si>
    <t>gesamt</t>
  </si>
  <si>
    <t>1bis25</t>
  </si>
  <si>
    <t>26bis50</t>
  </si>
  <si>
    <t>1bis50</t>
  </si>
  <si>
    <t>min</t>
  </si>
  <si>
    <t>Maximum</t>
  </si>
  <si>
    <t>51 bis 75</t>
  </si>
  <si>
    <t>76 bis 100</t>
  </si>
  <si>
    <t>Internal</t>
  </si>
  <si>
    <t>M. Kohl</t>
  </si>
  <si>
    <t>Measurement Uncertainty Device and Product Tolerance (Method 1)</t>
  </si>
  <si>
    <t>Test equipment name:</t>
  </si>
  <si>
    <t>Confidence range:</t>
  </si>
  <si>
    <t>Subject:</t>
  </si>
  <si>
    <t>Product-Tolerance</t>
  </si>
  <si>
    <t>Datenanalys</t>
  </si>
  <si>
    <t>Test equipment no.:</t>
  </si>
  <si>
    <t>Target value:</t>
  </si>
  <si>
    <t>Type:</t>
  </si>
  <si>
    <t xml:space="preserve"> </t>
  </si>
  <si>
    <t>Unit:</t>
  </si>
  <si>
    <t>Display resolution:</t>
  </si>
  <si>
    <t>Evidence of resolution:</t>
  </si>
  <si>
    <t>Group no.:</t>
  </si>
  <si>
    <t>Upper tolerance:</t>
  </si>
  <si>
    <t>Tested at place of use:</t>
  </si>
  <si>
    <t>Lower tolerance:</t>
  </si>
  <si>
    <t>Standard/Master:</t>
  </si>
  <si>
    <t>Measurement uncertainty:</t>
  </si>
  <si>
    <t>Surrounding temperature:</t>
  </si>
  <si>
    <t>Test date:</t>
  </si>
  <si>
    <t>Characteristic:</t>
  </si>
  <si>
    <t>Tester:</t>
  </si>
  <si>
    <t>Meas. device tolerance</t>
  </si>
  <si>
    <t>Confidence range</t>
  </si>
  <si>
    <t>The test equipment capability was proven (target cg/cgk ≥ 1,33).</t>
  </si>
  <si>
    <t>Average value:</t>
  </si>
  <si>
    <t>The test equipment capability was not proven (target cg/cgk ≥ 1,33).</t>
  </si>
  <si>
    <t>Standard defiation s:</t>
  </si>
  <si>
    <t>Systematic measurement deviation:</t>
  </si>
  <si>
    <t>The testing device or test fixture is released for use.</t>
  </si>
  <si>
    <t>Maximum value:</t>
  </si>
  <si>
    <t>Measurement uncertainty (+)</t>
  </si>
  <si>
    <t>The testing device or test fixture is not released for use.</t>
  </si>
  <si>
    <t>Minimum value:</t>
  </si>
  <si>
    <t>Measurement uncertainty (-)</t>
  </si>
  <si>
    <t>The limit values and the measurement uncertainty are to be considered when selecting the area of use.</t>
  </si>
  <si>
    <t>Range (%)</t>
  </si>
  <si>
    <t>Transfer from dhcvision</t>
  </si>
  <si>
    <t>Document formatively revised</t>
  </si>
  <si>
    <t>Ch. Reischl</t>
  </si>
  <si>
    <t xml:space="preserve">Updated footer </t>
  </si>
  <si>
    <t>upper limit (+ 0,10*T)</t>
  </si>
  <si>
    <t>lower limit (- 0,10*T)</t>
  </si>
  <si>
    <t>upper limit (TV centred)</t>
  </si>
  <si>
    <t>lower limit (TV centred)</t>
  </si>
  <si>
    <t>Translation EN Version "upper limit" and "lower limit" changed</t>
  </si>
  <si>
    <t>“Test Equipment No." field extended from 6 to 10 digits - SAP requirement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</si>
</sst>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00"/>
    <numFmt numFmtId="165" formatCode="0.000"/>
    <numFmt numFmtId="166" formatCode="0.000000"/>
    <numFmt numFmtId="167" formatCode="0.0000"/>
    <numFmt numFmtId="168" formatCode="00000"/>
    <numFmt numFmtId="169" formatCode="0.00000"/>
    <numFmt numFmtId="170" formatCode="0.0"/>
  </numFmts>
  <fonts count="25" x14ac:knownFonts="1">
    <font>
      <sz val="11"/>
      <color theme="1"/>
      <name val="Calibri"/>
      <family val="2"/>
      <scheme val="minor"/>
    </font>
    <font>
      <sz val="10"/>
      <name val="Arial"/>
      <family val="2"/>
    </font>
    <font>
      <sz val="10"/>
      <name val="Arial"/>
      <family val="2"/>
    </font>
    <font>
      <sz val="12"/>
      <name val="Arial"/>
      <family val="2"/>
    </font>
    <font>
      <sz val="10"/>
      <color theme="1" tint="0.34998626667073579"/>
      <name val="Segoe UI Semibold"/>
      <family val="2"/>
    </font>
    <font>
      <b/>
      <sz val="14"/>
      <color theme="1" tint="0.34998626667073579"/>
      <name val="Segoe UI Semibold"/>
      <family val="2"/>
    </font>
    <font>
      <b/>
      <sz val="14"/>
      <color theme="3" tint="-0.249977111117893"/>
      <name val="Segoe UI Semibold"/>
      <family val="2"/>
    </font>
    <font>
      <b/>
      <sz val="10"/>
      <name val="Arial"/>
      <family val="2"/>
    </font>
    <font>
      <sz val="11"/>
      <name val="Arial"/>
      <family val="2"/>
    </font>
    <font>
      <sz val="11"/>
      <name val="Arial"/>
      <family val="2"/>
    </font>
    <font>
      <sz val="8"/>
      <name val="Arial"/>
      <family val="2"/>
    </font>
    <font>
      <sz val="9"/>
      <name val="Arial"/>
      <family val="2"/>
    </font>
    <font>
      <b/>
      <sz val="12"/>
      <name val="Arial"/>
      <family val="2"/>
    </font>
    <font>
      <b/>
      <sz val="14"/>
      <name val="Arial"/>
      <family val="2"/>
    </font>
    <font>
      <sz val="10"/>
      <name val="MS Sans Serif"/>
    </font>
    <font>
      <i/>
      <u/>
      <sz val="8"/>
      <name val="Arial"/>
      <family val="2"/>
    </font>
    <font>
      <sz val="7"/>
      <name val="Arial"/>
      <family val="2"/>
    </font>
    <font>
      <sz val="6"/>
      <name val="Arial"/>
      <family val="2"/>
    </font>
    <font>
      <sz val="10"/>
      <color indexed="10"/>
      <name val="Arial"/>
      <family val="2"/>
    </font>
    <font>
      <b/>
      <sz val="8"/>
      <name val="Arial"/>
      <family val="2"/>
    </font>
    <font>
      <sz val="8"/>
      <name val="MS Sans Serif"/>
      <family val="2"/>
    </font>
    <font>
      <sz val="9"/>
      <name val="MS Sans Serif"/>
      <family val="2"/>
    </font>
    <font>
      <b/>
      <sz val="8"/>
      <color indexed="81"/>
      <name val="Tahoma"/>
      <family val="2"/>
    </font>
    <font>
      <sz val="8"/>
      <color indexed="81"/>
      <name val="Tahoma"/>
      <family val="2"/>
    </font>
    <font>
      <b/>
      <sz val="8"/>
      <name val="Tahoma"/>
      <family val="2"/>
    </font>
  </fonts>
  <fills count="5">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8" tint="0.79998168889431442"/>
        <bgColor indexed="64"/>
      </patternFill>
    </fill>
  </fills>
  <borders count="38">
    <border>
      <left/>
      <right/>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indexed="64"/>
      </bottom>
      <diagonal/>
    </border>
    <border>
      <left style="hair">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bottom style="hair">
        <color indexed="64"/>
      </bottom>
      <diagonal/>
    </border>
    <border>
      <left style="hair">
        <color indexed="64"/>
      </left>
      <right style="hair">
        <color indexed="64"/>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style="hair">
        <color indexed="64"/>
      </top>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7">
    <xf numFmtId="0" fontId="0" fillId="0" borderId="0"/>
    <xf numFmtId="0" fontId="1" fillId="0" borderId="0"/>
    <xf numFmtId="0" fontId="2" fillId="0" borderId="0"/>
    <xf numFmtId="0" fontId="8" fillId="0" borderId="0"/>
    <xf numFmtId="0" fontId="9" fillId="0" borderId="0"/>
    <xf numFmtId="0" fontId="2" fillId="0" borderId="0"/>
    <xf numFmtId="0" fontId="14" fillId="0" borderId="0"/>
  </cellStyleXfs>
  <cellXfs count="181">
    <xf numFmtId="0" fontId="0" fillId="0" borderId="0" xfId="0"/>
    <xf numFmtId="0" fontId="1" fillId="3" borderId="0" xfId="1" applyFill="1"/>
    <xf numFmtId="0" fontId="1" fillId="3" borderId="0" xfId="1" applyFill="1" applyAlignment="1">
      <alignment vertical="center"/>
    </xf>
    <xf numFmtId="0" fontId="2" fillId="3" borderId="0" xfId="1" applyFont="1" applyFill="1" applyAlignment="1">
      <alignment vertical="center"/>
    </xf>
    <xf numFmtId="0" fontId="1" fillId="0" borderId="0" xfId="1"/>
    <xf numFmtId="0" fontId="3" fillId="0" borderId="0" xfId="1" applyFont="1"/>
    <xf numFmtId="0" fontId="1" fillId="2" borderId="14" xfId="1" applyFill="1" applyBorder="1" applyAlignment="1">
      <alignment vertical="center"/>
    </xf>
    <xf numFmtId="0" fontId="7" fillId="0" borderId="0" xfId="1" applyFont="1" applyAlignment="1">
      <alignment wrapText="1"/>
    </xf>
    <xf numFmtId="0" fontId="1" fillId="0" borderId="0" xfId="1" applyAlignment="1">
      <alignment vertical="center"/>
    </xf>
    <xf numFmtId="0" fontId="7" fillId="0" borderId="11" xfId="1" applyFont="1" applyBorder="1" applyAlignment="1">
      <alignment horizontal="center" wrapText="1"/>
    </xf>
    <xf numFmtId="0" fontId="7" fillId="0" borderId="11" xfId="1" applyFont="1" applyBorder="1" applyAlignment="1">
      <alignment wrapText="1"/>
    </xf>
    <xf numFmtId="0" fontId="2" fillId="0" borderId="0" xfId="1" applyFont="1"/>
    <xf numFmtId="0" fontId="0" fillId="3" borderId="0" xfId="0" applyFill="1"/>
    <xf numFmtId="0" fontId="7" fillId="0" borderId="0" xfId="1" applyFont="1" applyAlignment="1">
      <alignment horizontal="center" wrapText="1"/>
    </xf>
    <xf numFmtId="0" fontId="2" fillId="0" borderId="0" xfId="1" applyFont="1" applyAlignment="1">
      <alignment vertical="top" wrapText="1"/>
    </xf>
    <xf numFmtId="0" fontId="13" fillId="0" borderId="15" xfId="5" applyFont="1" applyBorder="1" applyAlignment="1">
      <alignment horizontal="centerContinuous" vertical="center"/>
    </xf>
    <xf numFmtId="0" fontId="2" fillId="0" borderId="15" xfId="5" applyBorder="1" applyAlignment="1">
      <alignment horizontal="centerContinuous" vertical="center"/>
    </xf>
    <xf numFmtId="0" fontId="12" fillId="0" borderId="15" xfId="5" applyFont="1" applyBorder="1" applyAlignment="1">
      <alignment horizontal="centerContinuous" vertical="center"/>
    </xf>
    <xf numFmtId="0" fontId="12" fillId="0" borderId="15" xfId="6" applyFont="1" applyBorder="1" applyAlignment="1">
      <alignment horizontal="centerContinuous" vertical="center"/>
    </xf>
    <xf numFmtId="0" fontId="2" fillId="0" borderId="0" xfId="5"/>
    <xf numFmtId="0" fontId="10" fillId="0" borderId="0" xfId="5" applyFont="1"/>
    <xf numFmtId="0" fontId="10" fillId="0" borderId="20" xfId="5" applyFont="1" applyBorder="1"/>
    <xf numFmtId="0" fontId="11" fillId="0" borderId="0" xfId="5" applyFont="1" applyAlignment="1">
      <alignment horizontal="left"/>
    </xf>
    <xf numFmtId="0" fontId="10" fillId="0" borderId="16" xfId="5" applyFont="1" applyBorder="1"/>
    <xf numFmtId="0" fontId="11" fillId="0" borderId="0" xfId="5" applyFont="1"/>
    <xf numFmtId="0" fontId="14" fillId="0" borderId="23" xfId="6" applyBorder="1" applyAlignment="1">
      <alignment horizontal="left"/>
    </xf>
    <xf numFmtId="0" fontId="15" fillId="0" borderId="24" xfId="5" applyFont="1" applyBorder="1"/>
    <xf numFmtId="0" fontId="10" fillId="0" borderId="25" xfId="5" applyFont="1" applyBorder="1"/>
    <xf numFmtId="0" fontId="10" fillId="0" borderId="26" xfId="5" applyFont="1" applyBorder="1"/>
    <xf numFmtId="0" fontId="11" fillId="0" borderId="0" xfId="6" applyFont="1"/>
    <xf numFmtId="11" fontId="11" fillId="0" borderId="0" xfId="5" applyNumberFormat="1" applyFont="1" applyAlignment="1">
      <alignment horizontal="left"/>
    </xf>
    <xf numFmtId="165" fontId="2" fillId="0" borderId="0" xfId="5" applyNumberFormat="1"/>
    <xf numFmtId="0" fontId="10" fillId="0" borderId="27" xfId="5" applyFont="1" applyBorder="1"/>
    <xf numFmtId="0" fontId="10" fillId="0" borderId="28" xfId="5" applyFont="1" applyBorder="1"/>
    <xf numFmtId="2" fontId="10" fillId="0" borderId="0" xfId="5" applyNumberFormat="1" applyFont="1"/>
    <xf numFmtId="165" fontId="10" fillId="0" borderId="0" xfId="5" applyNumberFormat="1" applyFont="1"/>
    <xf numFmtId="0" fontId="2" fillId="0" borderId="0" xfId="6" applyFont="1"/>
    <xf numFmtId="2" fontId="2" fillId="0" borderId="0" xfId="5" applyNumberFormat="1"/>
    <xf numFmtId="49" fontId="11" fillId="0" borderId="0" xfId="5" applyNumberFormat="1" applyFont="1"/>
    <xf numFmtId="0" fontId="16" fillId="0" borderId="0" xfId="5" applyFont="1"/>
    <xf numFmtId="167" fontId="10" fillId="0" borderId="0" xfId="5" applyNumberFormat="1" applyFont="1"/>
    <xf numFmtId="166" fontId="10" fillId="0" borderId="0" xfId="5" applyNumberFormat="1" applyFont="1"/>
    <xf numFmtId="0" fontId="10" fillId="0" borderId="0" xfId="5" applyFont="1" applyAlignment="1">
      <alignment horizontal="right"/>
    </xf>
    <xf numFmtId="14" fontId="11" fillId="0" borderId="0" xfId="6" applyNumberFormat="1" applyFont="1" applyAlignment="1">
      <alignment horizontal="right"/>
    </xf>
    <xf numFmtId="0" fontId="10" fillId="0" borderId="29" xfId="5" applyFont="1" applyBorder="1"/>
    <xf numFmtId="167" fontId="10" fillId="0" borderId="15" xfId="5" applyNumberFormat="1" applyFont="1" applyBorder="1"/>
    <xf numFmtId="0" fontId="10" fillId="0" borderId="15" xfId="5" applyFont="1" applyBorder="1"/>
    <xf numFmtId="0" fontId="10" fillId="0" borderId="15" xfId="5" applyFont="1" applyBorder="1" applyAlignment="1">
      <alignment horizontal="right"/>
    </xf>
    <xf numFmtId="0" fontId="10" fillId="0" borderId="30" xfId="5" applyFont="1" applyBorder="1"/>
    <xf numFmtId="0" fontId="2" fillId="0" borderId="16" xfId="5" applyBorder="1"/>
    <xf numFmtId="0" fontId="2" fillId="0" borderId="0" xfId="5" applyAlignment="1">
      <alignment horizontal="center"/>
    </xf>
    <xf numFmtId="166" fontId="10" fillId="0" borderId="0" xfId="5" applyNumberFormat="1" applyFont="1" applyAlignment="1">
      <alignment horizontal="right"/>
    </xf>
    <xf numFmtId="0" fontId="10" fillId="0" borderId="31" xfId="5" applyFont="1" applyBorder="1"/>
    <xf numFmtId="165" fontId="17" fillId="0" borderId="32" xfId="5" applyNumberFormat="1" applyFont="1" applyBorder="1"/>
    <xf numFmtId="0" fontId="7" fillId="0" borderId="0" xfId="5" applyFont="1"/>
    <xf numFmtId="165" fontId="17" fillId="0" borderId="33" xfId="5" applyNumberFormat="1" applyFont="1" applyBorder="1"/>
    <xf numFmtId="0" fontId="10" fillId="0" borderId="17" xfId="5" applyFont="1" applyBorder="1"/>
    <xf numFmtId="167" fontId="10" fillId="0" borderId="1" xfId="5" applyNumberFormat="1" applyFont="1" applyBorder="1"/>
    <xf numFmtId="0" fontId="10" fillId="0" borderId="1" xfId="5" applyFont="1" applyBorder="1"/>
    <xf numFmtId="0" fontId="10" fillId="0" borderId="18" xfId="5" applyFont="1" applyBorder="1"/>
    <xf numFmtId="0" fontId="10" fillId="0" borderId="24" xfId="5" applyFont="1" applyBorder="1"/>
    <xf numFmtId="0" fontId="10" fillId="0" borderId="19" xfId="5" applyFont="1" applyBorder="1"/>
    <xf numFmtId="165" fontId="17" fillId="0" borderId="34" xfId="5" applyNumberFormat="1" applyFont="1" applyBorder="1"/>
    <xf numFmtId="2" fontId="10" fillId="0" borderId="15" xfId="5" applyNumberFormat="1" applyFont="1" applyBorder="1"/>
    <xf numFmtId="167" fontId="2" fillId="0" borderId="0" xfId="5" applyNumberFormat="1"/>
    <xf numFmtId="0" fontId="2" fillId="0" borderId="25" xfId="5" applyBorder="1" applyAlignment="1">
      <alignment horizontal="right"/>
    </xf>
    <xf numFmtId="2" fontId="2" fillId="0" borderId="25" xfId="5" applyNumberFormat="1" applyBorder="1" applyAlignment="1">
      <alignment horizontal="left"/>
    </xf>
    <xf numFmtId="0" fontId="10" fillId="0" borderId="35" xfId="5" applyFont="1" applyBorder="1"/>
    <xf numFmtId="0" fontId="10" fillId="0" borderId="36" xfId="5" applyFont="1" applyBorder="1"/>
    <xf numFmtId="165" fontId="10" fillId="0" borderId="36" xfId="5" applyNumberFormat="1" applyFont="1" applyBorder="1"/>
    <xf numFmtId="0" fontId="18" fillId="0" borderId="0" xfId="5" applyFont="1"/>
    <xf numFmtId="165" fontId="18" fillId="0" borderId="0" xfId="5" applyNumberFormat="1" applyFont="1"/>
    <xf numFmtId="169" fontId="18" fillId="0" borderId="0" xfId="5" applyNumberFormat="1" applyFont="1"/>
    <xf numFmtId="0" fontId="19" fillId="0" borderId="0" xfId="5" applyFont="1"/>
    <xf numFmtId="165" fontId="10" fillId="0" borderId="37" xfId="5" applyNumberFormat="1" applyFont="1" applyBorder="1"/>
    <xf numFmtId="10" fontId="10" fillId="0" borderId="27" xfId="5" applyNumberFormat="1" applyFont="1" applyBorder="1"/>
    <xf numFmtId="10" fontId="10" fillId="0" borderId="29" xfId="5" applyNumberFormat="1" applyFont="1" applyBorder="1"/>
    <xf numFmtId="0" fontId="2" fillId="0" borderId="15" xfId="5" applyBorder="1"/>
    <xf numFmtId="0" fontId="2" fillId="0" borderId="0" xfId="5" applyAlignment="1">
      <alignment horizontal="left"/>
    </xf>
    <xf numFmtId="0" fontId="2" fillId="0" borderId="0" xfId="5" applyAlignment="1">
      <alignment horizontal="right"/>
    </xf>
    <xf numFmtId="0" fontId="7" fillId="0" borderId="0" xfId="5" applyFont="1" applyAlignment="1">
      <alignment horizontal="left"/>
    </xf>
    <xf numFmtId="167" fontId="10" fillId="0" borderId="27" xfId="5" applyNumberFormat="1" applyFont="1" applyBorder="1"/>
    <xf numFmtId="167" fontId="7" fillId="0" borderId="0" xfId="5" applyNumberFormat="1" applyFont="1"/>
    <xf numFmtId="0" fontId="2" fillId="0" borderId="17" xfId="5" applyBorder="1" applyAlignment="1">
      <alignment horizontal="left" vertical="center"/>
    </xf>
    <xf numFmtId="2" fontId="7" fillId="0" borderId="1" xfId="5" applyNumberFormat="1" applyFont="1" applyBorder="1" applyAlignment="1">
      <alignment horizontal="center" vertical="center"/>
    </xf>
    <xf numFmtId="0" fontId="7" fillId="0" borderId="1" xfId="5" applyFont="1" applyBorder="1" applyAlignment="1">
      <alignment horizontal="left" vertical="center"/>
    </xf>
    <xf numFmtId="0" fontId="2" fillId="0" borderId="1" xfId="5" applyBorder="1" applyAlignment="1">
      <alignment vertical="center"/>
    </xf>
    <xf numFmtId="2" fontId="7" fillId="0" borderId="1" xfId="5" applyNumberFormat="1" applyFont="1" applyBorder="1" applyAlignment="1">
      <alignment horizontal="left" vertical="center"/>
    </xf>
    <xf numFmtId="0" fontId="7" fillId="0" borderId="1" xfId="5" applyFont="1" applyBorder="1" applyAlignment="1">
      <alignment vertical="center"/>
    </xf>
    <xf numFmtId="0" fontId="11" fillId="0" borderId="1" xfId="5" applyFont="1" applyBorder="1" applyAlignment="1">
      <alignment vertical="center"/>
    </xf>
    <xf numFmtId="167" fontId="7" fillId="0" borderId="0" xfId="5" applyNumberFormat="1" applyFont="1" applyAlignment="1">
      <alignment horizontal="left"/>
    </xf>
    <xf numFmtId="0" fontId="2" fillId="0" borderId="0" xfId="5" applyAlignment="1">
      <alignment horizontal="right" vertical="top"/>
    </xf>
    <xf numFmtId="165" fontId="7" fillId="0" borderId="0" xfId="5" applyNumberFormat="1" applyFont="1" applyAlignment="1">
      <alignment horizontal="left" vertical="top"/>
    </xf>
    <xf numFmtId="0" fontId="7" fillId="0" borderId="0" xfId="5" applyFont="1" applyAlignment="1">
      <alignment horizontal="left" vertical="top"/>
    </xf>
    <xf numFmtId="0" fontId="7" fillId="0" borderId="15" xfId="5" applyFont="1" applyBorder="1" applyAlignment="1">
      <alignment horizontal="left"/>
    </xf>
    <xf numFmtId="0" fontId="7" fillId="0" borderId="15" xfId="5" applyFont="1" applyBorder="1"/>
    <xf numFmtId="0" fontId="2" fillId="0" borderId="15" xfId="5" applyBorder="1" applyAlignment="1">
      <alignment horizontal="right" vertical="top"/>
    </xf>
    <xf numFmtId="165" fontId="7" fillId="0" borderId="15" xfId="5" applyNumberFormat="1" applyFont="1" applyBorder="1" applyAlignment="1">
      <alignment horizontal="left" vertical="top"/>
    </xf>
    <xf numFmtId="0" fontId="7" fillId="0" borderId="15" xfId="5" applyFont="1" applyBorder="1" applyAlignment="1">
      <alignment horizontal="left" vertical="top"/>
    </xf>
    <xf numFmtId="165" fontId="10" fillId="0" borderId="27" xfId="5" applyNumberFormat="1" applyFont="1" applyBorder="1"/>
    <xf numFmtId="165" fontId="10" fillId="0" borderId="29" xfId="5" applyNumberFormat="1" applyFont="1" applyBorder="1"/>
    <xf numFmtId="0" fontId="7" fillId="0" borderId="0" xfId="5" applyFont="1" applyAlignment="1">
      <alignment horizontal="right"/>
    </xf>
    <xf numFmtId="0" fontId="2" fillId="0" borderId="24" xfId="5" applyBorder="1"/>
    <xf numFmtId="0" fontId="2" fillId="0" borderId="25" xfId="5" applyBorder="1"/>
    <xf numFmtId="0" fontId="2" fillId="0" borderId="26" xfId="5" applyBorder="1"/>
    <xf numFmtId="0" fontId="2" fillId="0" borderId="27" xfId="5" applyBorder="1"/>
    <xf numFmtId="0" fontId="2" fillId="0" borderId="28" xfId="5" applyBorder="1"/>
    <xf numFmtId="165" fontId="10" fillId="0" borderId="28" xfId="5" applyNumberFormat="1" applyFont="1" applyBorder="1"/>
    <xf numFmtId="0" fontId="10" fillId="0" borderId="0" xfId="5" applyFont="1" applyAlignment="1">
      <alignment horizontal="left"/>
    </xf>
    <xf numFmtId="17" fontId="2" fillId="0" borderId="28" xfId="5" applyNumberFormat="1" applyBorder="1"/>
    <xf numFmtId="17" fontId="10" fillId="0" borderId="0" xfId="5" applyNumberFormat="1" applyFont="1"/>
    <xf numFmtId="0" fontId="2" fillId="0" borderId="35" xfId="5" applyBorder="1"/>
    <xf numFmtId="0" fontId="2" fillId="0" borderId="36" xfId="5" applyBorder="1"/>
    <xf numFmtId="17" fontId="2" fillId="0" borderId="36" xfId="5" applyNumberFormat="1" applyBorder="1"/>
    <xf numFmtId="0" fontId="2" fillId="0" borderId="37" xfId="5" applyBorder="1"/>
    <xf numFmtId="0" fontId="2" fillId="0" borderId="29" xfId="5" applyBorder="1"/>
    <xf numFmtId="0" fontId="2" fillId="0" borderId="30" xfId="5" applyBorder="1"/>
    <xf numFmtId="167" fontId="7" fillId="0" borderId="0" xfId="5" applyNumberFormat="1" applyFont="1" applyAlignment="1">
      <alignment horizontal="right"/>
    </xf>
    <xf numFmtId="0" fontId="14" fillId="0" borderId="0" xfId="6" applyAlignment="1">
      <alignment horizontal="right"/>
    </xf>
    <xf numFmtId="0" fontId="14" fillId="0" borderId="0" xfId="6" applyAlignment="1" applyProtection="1">
      <alignment horizontal="left"/>
      <protection locked="0"/>
    </xf>
    <xf numFmtId="11" fontId="11" fillId="0" borderId="0" xfId="5" applyNumberFormat="1" applyFont="1" applyAlignment="1" applyProtection="1">
      <alignment horizontal="left"/>
      <protection locked="0"/>
    </xf>
    <xf numFmtId="0" fontId="11" fillId="0" borderId="0" xfId="5" applyFont="1" applyAlignment="1" applyProtection="1">
      <alignment horizontal="left" shrinkToFit="1"/>
      <protection locked="0"/>
    </xf>
    <xf numFmtId="164" fontId="11" fillId="0" borderId="0" xfId="5" applyNumberFormat="1" applyFont="1" applyAlignment="1" applyProtection="1">
      <alignment horizontal="left"/>
      <protection locked="0"/>
    </xf>
    <xf numFmtId="0" fontId="11" fillId="0" borderId="0" xfId="5" applyFont="1" applyAlignment="1" applyProtection="1">
      <alignment horizontal="left"/>
      <protection locked="0"/>
    </xf>
    <xf numFmtId="0" fontId="11" fillId="0" borderId="0" xfId="6" applyFont="1" applyAlignment="1" applyProtection="1">
      <alignment horizontal="left"/>
      <protection locked="0"/>
    </xf>
    <xf numFmtId="49" fontId="2" fillId="0" borderId="0" xfId="5" applyNumberFormat="1"/>
    <xf numFmtId="167" fontId="10" fillId="2" borderId="20" xfId="0" applyNumberFormat="1" applyFont="1" applyFill="1" applyBorder="1" applyAlignment="1" applyProtection="1">
      <alignment horizontal="right"/>
      <protection locked="0"/>
    </xf>
    <xf numFmtId="0" fontId="1" fillId="0" borderId="11" xfId="1" applyBorder="1" applyAlignment="1">
      <alignment horizontal="left"/>
    </xf>
    <xf numFmtId="14" fontId="1" fillId="0" borderId="11" xfId="1" applyNumberFormat="1" applyBorder="1" applyAlignment="1">
      <alignment horizontal="left"/>
    </xf>
    <xf numFmtId="0" fontId="7" fillId="0" borderId="11" xfId="1" applyFont="1" applyBorder="1" applyAlignment="1">
      <alignment horizontal="center" wrapText="1"/>
    </xf>
    <xf numFmtId="0" fontId="4" fillId="2" borderId="6" xfId="1" applyFont="1" applyFill="1" applyBorder="1" applyAlignment="1">
      <alignment horizontal="left"/>
    </xf>
    <xf numFmtId="0" fontId="4" fillId="2" borderId="1" xfId="1" applyFont="1" applyFill="1" applyBorder="1" applyAlignment="1">
      <alignment horizontal="left"/>
    </xf>
    <xf numFmtId="0" fontId="4" fillId="2" borderId="2" xfId="1" applyFont="1" applyFill="1" applyBorder="1" applyAlignment="1">
      <alignment horizontal="left"/>
    </xf>
    <xf numFmtId="0" fontId="4" fillId="2" borderId="12" xfId="1" applyFont="1" applyFill="1" applyBorder="1" applyAlignment="1">
      <alignment horizontal="left"/>
    </xf>
    <xf numFmtId="0" fontId="4" fillId="2" borderId="11" xfId="1" applyFont="1" applyFill="1" applyBorder="1" applyAlignment="1">
      <alignment horizontal="left"/>
    </xf>
    <xf numFmtId="0" fontId="4" fillId="2" borderId="13" xfId="1" applyFont="1" applyFill="1" applyBorder="1" applyAlignment="1">
      <alignment horizontal="left"/>
    </xf>
    <xf numFmtId="0" fontId="2" fillId="4" borderId="9" xfId="1" applyFont="1" applyFill="1" applyBorder="1" applyAlignment="1">
      <alignment horizontal="left" vertical="center" wrapText="1"/>
    </xf>
    <xf numFmtId="0" fontId="2" fillId="4" borderId="7" xfId="1" applyFont="1" applyFill="1" applyBorder="1" applyAlignment="1">
      <alignment horizontal="left" vertical="center" wrapText="1"/>
    </xf>
    <xf numFmtId="0" fontId="2" fillId="4" borderId="8" xfId="1" applyFont="1" applyFill="1" applyBorder="1" applyAlignment="1">
      <alignment horizontal="left" vertical="center" wrapText="1"/>
    </xf>
    <xf numFmtId="0" fontId="1" fillId="2" borderId="9" xfId="1" applyFill="1" applyBorder="1" applyAlignment="1">
      <alignment horizontal="left" vertical="center"/>
    </xf>
    <xf numFmtId="0" fontId="1" fillId="2" borderId="8" xfId="1" applyFill="1" applyBorder="1" applyAlignment="1">
      <alignment horizontal="left" vertical="center"/>
    </xf>
    <xf numFmtId="0" fontId="1" fillId="4" borderId="9" xfId="1" applyFill="1" applyBorder="1" applyAlignment="1">
      <alignment horizontal="left" vertical="center" wrapText="1"/>
    </xf>
    <xf numFmtId="0" fontId="1" fillId="4" borderId="7" xfId="1" applyFill="1" applyBorder="1" applyAlignment="1">
      <alignment horizontal="left" vertical="center" wrapText="1"/>
    </xf>
    <xf numFmtId="0" fontId="0" fillId="0" borderId="9" xfId="0" applyBorder="1" applyAlignment="1">
      <alignment horizontal="left" vertical="center" wrapText="1"/>
    </xf>
    <xf numFmtId="0" fontId="0" fillId="0" borderId="8" xfId="0" applyBorder="1" applyAlignment="1">
      <alignment horizontal="left" vertical="center" wrapText="1"/>
    </xf>
    <xf numFmtId="0" fontId="1" fillId="4" borderId="10" xfId="1" applyFill="1" applyBorder="1" applyAlignment="1">
      <alignment horizontal="left" vertical="center" wrapText="1"/>
    </xf>
    <xf numFmtId="0" fontId="6" fillId="2" borderId="5" xfId="1" applyFont="1" applyFill="1" applyBorder="1" applyAlignment="1">
      <alignment horizontal="left" vertical="center"/>
    </xf>
    <xf numFmtId="0" fontId="6" fillId="2" borderId="3" xfId="1" applyFont="1" applyFill="1" applyBorder="1" applyAlignment="1">
      <alignment horizontal="left" vertical="center"/>
    </xf>
    <xf numFmtId="0" fontId="5" fillId="2" borderId="3" xfId="1" applyFont="1" applyFill="1" applyBorder="1" applyAlignment="1">
      <alignment horizontal="left" vertical="center"/>
    </xf>
    <xf numFmtId="0" fontId="5" fillId="2" borderId="4" xfId="1" applyFont="1" applyFill="1" applyBorder="1" applyAlignment="1">
      <alignment horizontal="left" vertical="center"/>
    </xf>
    <xf numFmtId="0" fontId="11" fillId="0" borderId="22" xfId="5" applyFont="1" applyBorder="1" applyAlignment="1" applyProtection="1">
      <alignment horizontal="left" shrinkToFit="1"/>
      <protection locked="0"/>
    </xf>
    <xf numFmtId="0" fontId="11" fillId="0" borderId="21" xfId="5" applyFont="1" applyBorder="1" applyAlignment="1" applyProtection="1">
      <alignment horizontal="left" shrinkToFit="1"/>
      <protection locked="0"/>
    </xf>
    <xf numFmtId="0" fontId="11" fillId="0" borderId="22" xfId="5" applyFont="1" applyBorder="1" applyAlignment="1" applyProtection="1">
      <alignment horizontal="right"/>
      <protection locked="0"/>
    </xf>
    <xf numFmtId="0" fontId="1" fillId="0" borderId="21" xfId="5" applyFont="1" applyBorder="1" applyProtection="1">
      <protection locked="0"/>
    </xf>
    <xf numFmtId="0" fontId="2" fillId="0" borderId="21" xfId="5" applyBorder="1" applyProtection="1">
      <protection locked="0"/>
    </xf>
    <xf numFmtId="10" fontId="11" fillId="0" borderId="22" xfId="5" applyNumberFormat="1" applyFont="1" applyBorder="1" applyAlignment="1" applyProtection="1">
      <alignment horizontal="left"/>
      <protection locked="0"/>
    </xf>
    <xf numFmtId="10" fontId="14" fillId="0" borderId="22" xfId="6" applyNumberFormat="1" applyBorder="1" applyAlignment="1" applyProtection="1">
      <alignment horizontal="left"/>
      <protection locked="0"/>
    </xf>
    <xf numFmtId="0" fontId="11" fillId="0" borderId="21" xfId="5" applyFont="1" applyBorder="1" applyAlignment="1" applyProtection="1">
      <alignment horizontal="right"/>
      <protection locked="0"/>
    </xf>
    <xf numFmtId="164" fontId="11" fillId="0" borderId="21" xfId="5" applyNumberFormat="1" applyFont="1" applyBorder="1" applyAlignment="1" applyProtection="1">
      <alignment horizontal="left"/>
      <protection locked="0"/>
    </xf>
    <xf numFmtId="167" fontId="11" fillId="0" borderId="22" xfId="5" applyNumberFormat="1" applyFont="1" applyBorder="1" applyAlignment="1" applyProtection="1">
      <alignment horizontal="right"/>
      <protection locked="0"/>
    </xf>
    <xf numFmtId="0" fontId="11" fillId="0" borderId="22" xfId="5" applyFont="1" applyBorder="1" applyAlignment="1">
      <alignment horizontal="right"/>
    </xf>
    <xf numFmtId="168" fontId="11" fillId="0" borderId="22" xfId="5" applyNumberFormat="1" applyFont="1" applyBorder="1" applyAlignment="1" applyProtection="1">
      <alignment horizontal="left"/>
      <protection locked="0"/>
    </xf>
    <xf numFmtId="0" fontId="11" fillId="0" borderId="22" xfId="5" applyFont="1" applyBorder="1" applyAlignment="1" applyProtection="1">
      <alignment horizontal="left"/>
      <protection locked="0"/>
    </xf>
    <xf numFmtId="167" fontId="7" fillId="0" borderId="0" xfId="5" applyNumberFormat="1" applyFont="1" applyAlignment="1">
      <alignment horizontal="right"/>
    </xf>
    <xf numFmtId="0" fontId="14" fillId="0" borderId="0" xfId="6" applyAlignment="1">
      <alignment horizontal="right"/>
    </xf>
    <xf numFmtId="0" fontId="14" fillId="0" borderId="0" xfId="6"/>
    <xf numFmtId="164" fontId="11" fillId="0" borderId="22" xfId="5" applyNumberFormat="1" applyFont="1" applyBorder="1" applyAlignment="1" applyProtection="1">
      <alignment horizontal="left"/>
      <protection locked="0"/>
    </xf>
    <xf numFmtId="167" fontId="11" fillId="0" borderId="0" xfId="5" applyNumberFormat="1" applyFont="1" applyAlignment="1">
      <alignment horizontal="right"/>
    </xf>
    <xf numFmtId="10" fontId="11" fillId="0" borderId="22" xfId="6" applyNumberFormat="1" applyFont="1" applyBorder="1" applyAlignment="1" applyProtection="1">
      <alignment horizontal="left"/>
      <protection locked="0"/>
    </xf>
    <xf numFmtId="0" fontId="11" fillId="0" borderId="22" xfId="6" applyFont="1" applyBorder="1" applyAlignment="1" applyProtection="1">
      <alignment horizontal="left"/>
      <protection locked="0"/>
    </xf>
    <xf numFmtId="14" fontId="11" fillId="0" borderId="21" xfId="6" applyNumberFormat="1" applyFont="1" applyBorder="1" applyAlignment="1" applyProtection="1">
      <alignment horizontal="right"/>
      <protection locked="0"/>
    </xf>
    <xf numFmtId="49" fontId="11" fillId="0" borderId="21" xfId="6" applyNumberFormat="1" applyFont="1" applyBorder="1" applyAlignment="1" applyProtection="1">
      <alignment horizontal="right"/>
      <protection locked="0"/>
    </xf>
    <xf numFmtId="10" fontId="10" fillId="0" borderId="0" xfId="5" applyNumberFormat="1" applyFont="1" applyAlignment="1">
      <alignment horizontal="left"/>
    </xf>
    <xf numFmtId="10" fontId="20" fillId="0" borderId="0" xfId="6" applyNumberFormat="1" applyFont="1" applyAlignment="1">
      <alignment horizontal="left"/>
    </xf>
    <xf numFmtId="165" fontId="10" fillId="0" borderId="0" xfId="5" applyNumberFormat="1" applyFont="1"/>
    <xf numFmtId="0" fontId="14" fillId="0" borderId="28" xfId="6" applyBorder="1"/>
    <xf numFmtId="0" fontId="2" fillId="0" borderId="1" xfId="5" applyBorder="1" applyAlignment="1">
      <alignment horizontal="center" vertical="center"/>
    </xf>
    <xf numFmtId="0" fontId="14" fillId="0" borderId="1" xfId="6" applyBorder="1" applyAlignment="1">
      <alignment horizontal="center" vertical="center"/>
    </xf>
    <xf numFmtId="170" fontId="11" fillId="0" borderId="1" xfId="5" applyNumberFormat="1" applyFont="1" applyBorder="1" applyAlignment="1">
      <alignment horizontal="center" vertical="center"/>
    </xf>
    <xf numFmtId="170" fontId="14" fillId="0" borderId="18" xfId="6" applyNumberFormat="1" applyBorder="1" applyAlignment="1">
      <alignment horizontal="center" vertical="center"/>
    </xf>
    <xf numFmtId="170" fontId="21" fillId="0" borderId="18" xfId="6" applyNumberFormat="1" applyFont="1" applyBorder="1" applyAlignment="1">
      <alignment horizontal="center" vertical="center"/>
    </xf>
  </cellXfs>
  <cellStyles count="7">
    <cellStyle name="Normal" xfId="0" builtinId="0"/>
    <cellStyle name="Normal 2" xfId="1" xr:uid="{00000000-0005-0000-0000-000001000000}"/>
    <cellStyle name="Standard 2" xfId="2" xr:uid="{00000000-0005-0000-0000-000003000000}"/>
    <cellStyle name="Standard 3" xfId="3" xr:uid="{00000000-0005-0000-0000-000004000000}"/>
    <cellStyle name="Standard 4" xfId="4" xr:uid="{00000000-0005-0000-0000-000005000000}"/>
    <cellStyle name="Standard 5" xfId="6" xr:uid="{00000000-0005-0000-0000-000006000000}"/>
    <cellStyle name="Standard_050281-M-240904" xfId="5" xr:uid="{00000000-0005-0000-0000-000007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de-AT"/>
              <a:t>Measured Value Distribution</a:t>
            </a:r>
          </a:p>
        </c:rich>
      </c:tx>
      <c:layout>
        <c:manualLayout>
          <c:xMode val="edge"/>
          <c:yMode val="edge"/>
          <c:x val="0.3536304768473284"/>
          <c:y val="4.05407729206263E-2"/>
        </c:manualLayout>
      </c:layout>
      <c:overlay val="0"/>
      <c:spPr>
        <a:noFill/>
        <a:ln w="25400">
          <a:noFill/>
        </a:ln>
      </c:spPr>
    </c:title>
    <c:autoTitleDeleted val="0"/>
    <c:plotArea>
      <c:layout>
        <c:manualLayout>
          <c:layoutTarget val="inner"/>
          <c:xMode val="edge"/>
          <c:yMode val="edge"/>
          <c:x val="6.5573845476532167E-2"/>
          <c:y val="0.20270359438166166"/>
          <c:w val="0.89929845224958405"/>
          <c:h val="0.6441469777017248"/>
        </c:manualLayout>
      </c:layout>
      <c:barChart>
        <c:barDir val="col"/>
        <c:grouping val="cluster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 Uncertainty'!$AC$28:$AC$39</c:f>
              <c:strCache>
                <c:ptCount val="12"/>
                <c:pt idx="0">
                  <c:v>Xq-6s</c:v>
                </c:pt>
                <c:pt idx="1">
                  <c:v>Xq-5s</c:v>
                </c:pt>
                <c:pt idx="2">
                  <c:v>Xq-4s</c:v>
                </c:pt>
                <c:pt idx="3">
                  <c:v>Xq-3s</c:v>
                </c:pt>
                <c:pt idx="4">
                  <c:v>Xq-2s</c:v>
                </c:pt>
                <c:pt idx="5">
                  <c:v>Xq-1s</c:v>
                </c:pt>
                <c:pt idx="6">
                  <c:v>Xq+1s</c:v>
                </c:pt>
                <c:pt idx="7">
                  <c:v>Xq+2s</c:v>
                </c:pt>
                <c:pt idx="8">
                  <c:v>Xq+3s</c:v>
                </c:pt>
                <c:pt idx="9">
                  <c:v>Xq+4s</c:v>
                </c:pt>
                <c:pt idx="10">
                  <c:v>Xq+5s</c:v>
                </c:pt>
                <c:pt idx="11">
                  <c:v>Xq+6s</c:v>
                </c:pt>
              </c:strCache>
            </c:strRef>
          </c:cat>
          <c:val>
            <c:numRef>
              <c:f>'Measurement Uncertainty'!$AD$28:$AD$39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217-49BA-BE8F-562287BD28C3}"/>
            </c:ext>
          </c:extLst>
        </c:ser>
        <c:dLbls>
          <c:showLegendKey val="0"/>
          <c:showVal val="0"/>
          <c:showCatName val="0"/>
          <c:showSerName val="0"/>
          <c:showPercent val="0"/>
          <c:showBubbleSize val="0"/>
        </c:dLbls>
        <c:gapWidth val="0"/>
        <c:axId val="715908392"/>
        <c:axId val="1"/>
      </c:barChart>
      <c:catAx>
        <c:axId val="715908392"/>
        <c:scaling>
          <c:orientation val="minMax"/>
        </c:scaling>
        <c:delete val="0"/>
        <c:axPos val="b"/>
        <c:numFmt formatCode="General" sourceLinked="1"/>
        <c:majorTickMark val="in"/>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1"/>
        <c:crosses val="autoZero"/>
        <c:auto val="0"/>
        <c:lblAlgn val="ctr"/>
        <c:lblOffset val="100"/>
        <c:tickLblSkip val="1"/>
        <c:tickMarkSkip val="1"/>
        <c:noMultiLvlLbl val="0"/>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15908392"/>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&amp;B</c:oddHeader>
      <c:oddFooter>Seite &amp;S</c:oddFooter>
    </c:headerFooter>
    <c:pageMargins b="1" l="0.75" r="0.75" t="1" header="0.51181102300000003" footer="0.51181102300000003"/>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de-AT"/>
              <a:t>Position and Distribution</a:t>
            </a:r>
          </a:p>
        </c:rich>
      </c:tx>
      <c:layout>
        <c:manualLayout>
          <c:xMode val="edge"/>
          <c:yMode val="edge"/>
          <c:x val="0.37137360477444098"/>
          <c:y val="3.3248259611720322E-2"/>
        </c:manualLayout>
      </c:layout>
      <c:overlay val="0"/>
      <c:spPr>
        <a:noFill/>
        <a:ln w="25400">
          <a:noFill/>
        </a:ln>
      </c:spPr>
    </c:title>
    <c:autoTitleDeleted val="0"/>
    <c:plotArea>
      <c:layout>
        <c:manualLayout>
          <c:layoutTarget val="inner"/>
          <c:xMode val="edge"/>
          <c:yMode val="edge"/>
          <c:x val="8.1237987750456875E-2"/>
          <c:y val="0.14578023320141814"/>
          <c:w val="0.91102600548726642"/>
          <c:h val="0.63938698772551816"/>
        </c:manualLayout>
      </c:layout>
      <c:lineChart>
        <c:grouping val="standard"/>
        <c:varyColors val="0"/>
        <c:ser>
          <c:idx val="2"/>
          <c:order val="0"/>
          <c:tx>
            <c:v>Target Distribution</c:v>
          </c:tx>
          <c:spPr>
            <a:ln w="12700">
              <a:solidFill>
                <a:srgbClr val="000000"/>
              </a:solidFill>
              <a:prstDash val="sysDash"/>
            </a:ln>
          </c:spPr>
          <c:marker>
            <c:symbol val="none"/>
          </c:marker>
          <c:cat>
            <c:numRef>
              <c:f>'Measurement Uncertainty'!$F$80:$F$279</c:f>
              <c:numCache>
                <c:formatCode>0.00</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cat>
          <c:val>
            <c:numRef>
              <c:f>'Measurement Uncertainty'!$H$80:$H$279</c:f>
              <c:numCache>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val>
          <c:smooth val="0"/>
          <c:extLst>
            <c:ext xmlns:c16="http://schemas.microsoft.com/office/drawing/2014/chart" uri="{C3380CC4-5D6E-409C-BE32-E72D297353CC}">
              <c16:uniqueId val="{00000000-CED7-4188-A34E-E476E8A58393}"/>
            </c:ext>
          </c:extLst>
        </c:ser>
        <c:ser>
          <c:idx val="0"/>
          <c:order val="1"/>
          <c:tx>
            <c:v>UTL, LTL</c:v>
          </c:tx>
          <c:spPr>
            <a:ln w="12700">
              <a:solidFill>
                <a:srgbClr val="FF0000"/>
              </a:solidFill>
              <a:prstDash val="solid"/>
            </a:ln>
          </c:spPr>
          <c:marker>
            <c:symbol val="none"/>
          </c:marker>
          <c:cat>
            <c:numRef>
              <c:f>'Measurement Uncertainty'!$F$80:$F$279</c:f>
              <c:numCache>
                <c:formatCode>0.00</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cat>
          <c:val>
            <c:numRef>
              <c:f>'Measurement Uncertainty'!$I$80:$I$279</c:f>
              <c:numCache>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val>
          <c:smooth val="0"/>
          <c:extLst>
            <c:ext xmlns:c16="http://schemas.microsoft.com/office/drawing/2014/chart" uri="{C3380CC4-5D6E-409C-BE32-E72D297353CC}">
              <c16:uniqueId val="{00000001-CED7-4188-A34E-E476E8A58393}"/>
            </c:ext>
          </c:extLst>
        </c:ser>
        <c:ser>
          <c:idx val="1"/>
          <c:order val="2"/>
          <c:tx>
            <c:v>Actual Distribution</c:v>
          </c:tx>
          <c:spPr>
            <a:ln w="25400">
              <a:solidFill>
                <a:srgbClr val="00FF00"/>
              </a:solidFill>
              <a:prstDash val="solid"/>
            </a:ln>
          </c:spPr>
          <c:marker>
            <c:symbol val="none"/>
          </c:marker>
          <c:cat>
            <c:numRef>
              <c:f>'Measurement Uncertainty'!$F$80:$F$279</c:f>
              <c:numCache>
                <c:formatCode>0.00</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cat>
          <c:val>
            <c:numRef>
              <c:f>'Measurement Uncertainty'!$G$80:$G$279</c:f>
              <c:numCache>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Cache>
            </c:numRef>
          </c:val>
          <c:smooth val="0"/>
          <c:extLst>
            <c:ext xmlns:c16="http://schemas.microsoft.com/office/drawing/2014/chart" uri="{C3380CC4-5D6E-409C-BE32-E72D297353CC}">
              <c16:uniqueId val="{00000002-CED7-4188-A34E-E476E8A58393}"/>
            </c:ext>
          </c:extLst>
        </c:ser>
        <c:dLbls>
          <c:showLegendKey val="0"/>
          <c:showVal val="0"/>
          <c:showCatName val="0"/>
          <c:showSerName val="0"/>
          <c:showPercent val="0"/>
          <c:showBubbleSize val="0"/>
        </c:dLbls>
        <c:smooth val="0"/>
        <c:axId val="715907736"/>
        <c:axId val="1"/>
      </c:lineChart>
      <c:catAx>
        <c:axId val="715907736"/>
        <c:scaling>
          <c:orientation val="minMax"/>
        </c:scaling>
        <c:delete val="0"/>
        <c:axPos val="b"/>
        <c:majorGridlines>
          <c:spPr>
            <a:ln w="3175">
              <a:solidFill>
                <a:srgbClr val="000000"/>
              </a:solidFill>
              <a:prstDash val="solid"/>
            </a:ln>
          </c:spPr>
        </c:majorGridlines>
        <c:numFmt formatCode="0.000" sourceLinked="0"/>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
        <c:crosses val="autoZero"/>
        <c:auto val="0"/>
        <c:lblAlgn val="ctr"/>
        <c:lblOffset val="100"/>
        <c:tickLblSkip val="9"/>
        <c:tickMarkSkip val="5"/>
        <c:noMultiLvlLbl val="0"/>
      </c:catAx>
      <c:valAx>
        <c:axId val="1"/>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15907736"/>
        <c:crosses val="autoZero"/>
        <c:crossBetween val="midCat"/>
      </c:valAx>
      <c:spPr>
        <a:solidFill>
          <a:srgbClr val="FFFFFF"/>
        </a:solidFill>
        <a:ln w="25400">
          <a:noFill/>
        </a:ln>
      </c:spPr>
    </c:plotArea>
    <c:legend>
      <c:legendPos val="r"/>
      <c:layout>
        <c:manualLayout>
          <c:xMode val="edge"/>
          <c:yMode val="edge"/>
          <c:x val="0.20463320463320464"/>
          <c:y val="0.92819269473162025"/>
          <c:w val="0.63127413127413123"/>
          <c:h val="5.8510714281076348E-2"/>
        </c:manualLayout>
      </c:layout>
      <c:overlay val="0"/>
      <c:spPr>
        <a:solidFill>
          <a:srgbClr val="FFFFFF"/>
        </a:solidFill>
        <a:ln w="3175">
          <a:solidFill>
            <a:srgbClr val="000000"/>
          </a:solidFill>
          <a:prstDash val="solid"/>
        </a:ln>
      </c:spPr>
      <c:txPr>
        <a:bodyPr/>
        <a:lstStyle/>
        <a:p>
          <a:pPr>
            <a:defRPr sz="5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&amp;B</c:oddHeader>
      <c:oddFooter>Seite &amp;S</c:oddFooter>
    </c:headerFooter>
    <c:pageMargins b="1" l="0.75" r="0.75" t="1" header="0.51181102300000003" footer="0.51181102300000003"/>
    <c:pageSetup paperSize="9" orientation="landscape" horizontalDpi="300" verticalDpi="300"/>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15</xdr:col>
      <xdr:colOff>232834</xdr:colOff>
      <xdr:row>0</xdr:row>
      <xdr:rowOff>0</xdr:rowOff>
    </xdr:from>
    <xdr:to>
      <xdr:col>16</xdr:col>
      <xdr:colOff>376241</xdr:colOff>
      <xdr:row>1</xdr:row>
      <xdr:rowOff>95250</xdr:rowOff>
    </xdr:to>
    <xdr:pic>
      <xdr:nvPicPr>
        <xdr:cNvPr id="2" name="1 Imagen" descr="DRX.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303001" y="0"/>
          <a:ext cx="905407" cy="6138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57150</xdr:colOff>
      <xdr:row>16</xdr:row>
      <xdr:rowOff>0</xdr:rowOff>
    </xdr:from>
    <xdr:to>
      <xdr:col>16</xdr:col>
      <xdr:colOff>390525</xdr:colOff>
      <xdr:row>29</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114300</xdr:colOff>
      <xdr:row>30</xdr:row>
      <xdr:rowOff>0</xdr:rowOff>
    </xdr:from>
    <xdr:to>
      <xdr:col>18</xdr:col>
      <xdr:colOff>361950</xdr:colOff>
      <xdr:row>52</xdr:row>
      <xdr:rowOff>19050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13</xdr:row>
      <xdr:rowOff>38100</xdr:rowOff>
    </xdr:from>
    <xdr:to>
      <xdr:col>19</xdr:col>
      <xdr:colOff>0</xdr:colOff>
      <xdr:row>15</xdr:row>
      <xdr:rowOff>112524</xdr:rowOff>
    </xdr:to>
    <xdr:sp macro="" textlink="" fLocksText="0">
      <xdr:nvSpPr>
        <xdr:cNvPr id="4" name="Text Box 3">
          <a:extLst>
            <a:ext uri="{FF2B5EF4-FFF2-40B4-BE49-F238E27FC236}">
              <a16:creationId xmlns:a16="http://schemas.microsoft.com/office/drawing/2014/main" id="{00000000-0008-0000-0100-000004000000}"/>
            </a:ext>
          </a:extLst>
        </xdr:cNvPr>
        <xdr:cNvSpPr txBox="1">
          <a:spLocks noChangeArrowheads="1"/>
        </xdr:cNvSpPr>
      </xdr:nvSpPr>
      <xdr:spPr bwMode="auto">
        <a:xfrm>
          <a:off x="1495425" y="2190750"/>
          <a:ext cx="4953000" cy="398274"/>
        </a:xfrm>
        <a:prstGeom prst="rect">
          <a:avLst/>
        </a:prstGeom>
        <a:solidFill>
          <a:srgbClr val="FFFFFF"/>
        </a:solidFill>
        <a:ln w="3175">
          <a:noFill/>
          <a:miter lim="800000"/>
          <a:headEnd/>
          <a:tailEnd/>
        </a:ln>
      </xdr:spPr>
      <xdr:txBody>
        <a:bodyPr/>
        <a:lstStyle/>
        <a:p>
          <a:endParaRPr lang="de-DE"/>
        </a:p>
        <a:p>
          <a:endParaRPr lang="de-DE"/>
        </a:p>
      </xdr:txBody>
    </xdr:sp>
    <xdr:clientData fLocksWithSheet="0"/>
  </xdr:twoCellAnchor>
  <xdr:twoCellAnchor>
    <xdr:from>
      <xdr:col>5</xdr:col>
      <xdr:colOff>0</xdr:colOff>
      <xdr:row>13</xdr:row>
      <xdr:rowOff>43815</xdr:rowOff>
    </xdr:from>
    <xdr:to>
      <xdr:col>18</xdr:col>
      <xdr:colOff>371461</xdr:colOff>
      <xdr:row>15</xdr:row>
      <xdr:rowOff>144879</xdr:rowOff>
    </xdr:to>
    <xdr:sp macro="" textlink="" fLocksText="0">
      <xdr:nvSpPr>
        <xdr:cNvPr id="5" name="Text Box 3">
          <a:extLst>
            <a:ext uri="{FF2B5EF4-FFF2-40B4-BE49-F238E27FC236}">
              <a16:creationId xmlns:a16="http://schemas.microsoft.com/office/drawing/2014/main" id="{00000000-0008-0000-0100-000005000000}"/>
            </a:ext>
          </a:extLst>
        </xdr:cNvPr>
        <xdr:cNvSpPr txBox="1">
          <a:spLocks noChangeArrowheads="1"/>
        </xdr:cNvSpPr>
      </xdr:nvSpPr>
      <xdr:spPr bwMode="auto">
        <a:xfrm>
          <a:off x="1495425" y="2196465"/>
          <a:ext cx="4943461" cy="424914"/>
        </a:xfrm>
        <a:prstGeom prst="rect">
          <a:avLst/>
        </a:prstGeom>
        <a:solidFill>
          <a:srgbClr val="FFFFFF"/>
        </a:solidFill>
        <a:ln>
          <a:noFill/>
        </a:ln>
        <a:extLst>
          <a:ext uri="{91240B29-F687-4F45-9708-019B960494DF}">
            <a14:hiddenLine xmlns:a14="http://schemas.microsoft.com/office/drawing/2010/main" w="3175">
              <a:solidFill>
                <a:srgbClr val="000000"/>
              </a:solidFill>
              <a:miter lim="800000"/>
              <a:headEnd/>
              <a:tailEnd/>
            </a14:hiddenLine>
          </a:ext>
        </a:extLst>
      </xdr:spPr>
      <xdr:txBody>
        <a:bodyPr/>
        <a:lstStyle/>
        <a:p>
          <a:r>
            <a:rPr lang="de-DE" sz="900">
              <a:latin typeface="Arial" panose="020B0604020202020204" pitchFamily="34" charset="0"/>
              <a:cs typeface="Arial" panose="020B0604020202020204" pitchFamily="34" charset="0"/>
            </a:rPr>
            <a:t>Textfield for remark</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B1:S47"/>
  <sheetViews>
    <sheetView zoomScale="90" zoomScaleNormal="90" workbookViewId="0">
      <selection activeCell="E11" sqref="E11:J11"/>
    </sheetView>
  </sheetViews>
  <sheetFormatPr defaultColWidth="11.42578125" defaultRowHeight="15" x14ac:dyDescent="0.25"/>
  <cols>
    <col min="1" max="1" width="6" style="12" customWidth="1"/>
    <col min="18" max="16384" width="11.42578125" style="12"/>
  </cols>
  <sheetData>
    <row r="1" spans="2:19" ht="40.5" customHeight="1" x14ac:dyDescent="0.25">
      <c r="B1" s="146" t="s">
        <v>0</v>
      </c>
      <c r="C1" s="147"/>
      <c r="D1" s="147"/>
      <c r="E1" s="147"/>
      <c r="F1" s="148"/>
      <c r="G1" s="148"/>
      <c r="H1" s="148"/>
      <c r="I1" s="148"/>
      <c r="J1" s="148"/>
      <c r="K1" s="148"/>
      <c r="L1" s="148"/>
      <c r="M1" s="148"/>
      <c r="N1" s="148"/>
      <c r="O1" s="148"/>
      <c r="P1" s="148"/>
      <c r="Q1" s="149"/>
      <c r="R1" s="1"/>
      <c r="S1" s="1"/>
    </row>
    <row r="2" spans="2:19" x14ac:dyDescent="0.25">
      <c r="B2" s="133" t="str">
        <f ca="1">"Creation: " &amp; CreationDate()</f>
        <v>Creation: 02-03-2021</v>
      </c>
      <c r="C2" s="134"/>
      <c r="D2" s="134"/>
      <c r="E2" s="134"/>
      <c r="F2" s="134" t="str">
        <f ca="1">"Revision: " &amp; Revisiondate()</f>
        <v>Revision: 02-03-2021</v>
      </c>
      <c r="G2" s="134"/>
      <c r="H2" s="134"/>
      <c r="I2" s="134"/>
      <c r="J2" s="134" t="str">
        <f ca="1">"Validation: " &amp; ValidationDate()</f>
        <v>Validation: 02-03-2021</v>
      </c>
      <c r="K2" s="134"/>
      <c r="L2" s="134"/>
      <c r="M2" s="134"/>
      <c r="N2" s="134" t="str">
        <f ca="1">"Trans. Validation: " &amp; TransValidationdate()</f>
        <v>Trans. Validation: 11-03-2021</v>
      </c>
      <c r="O2" s="134"/>
      <c r="P2" s="134"/>
      <c r="Q2" s="135"/>
      <c r="R2" s="1"/>
      <c r="S2" s="1"/>
    </row>
    <row r="3" spans="2:19" x14ac:dyDescent="0.25">
      <c r="B3" s="133" t="str">
        <f ca="1">CreationName()</f>
        <v>ReischlChristianQI92</v>
      </c>
      <c r="C3" s="134"/>
      <c r="D3" s="134"/>
      <c r="E3" s="134"/>
      <c r="F3" s="134" t="str">
        <f ca="1">RevisionName()</f>
        <v>SpencerThomasQM2</v>
      </c>
      <c r="G3" s="134"/>
      <c r="H3" s="134"/>
      <c r="I3" s="134"/>
      <c r="J3" s="134" t="str">
        <f ca="1">ValidationName()</f>
        <v>GerschewskiHendrikC-PO2</v>
      </c>
      <c r="K3" s="134"/>
      <c r="L3" s="134"/>
      <c r="M3" s="134"/>
      <c r="N3" s="134" t="str">
        <f ca="1">TransValidationName()</f>
        <v>GerschewskiHendrikC-PO2</v>
      </c>
      <c r="O3" s="134"/>
      <c r="P3" s="134"/>
      <c r="Q3" s="135"/>
      <c r="R3" s="1"/>
      <c r="S3" s="1"/>
    </row>
    <row r="4" spans="2:19" x14ac:dyDescent="0.25">
      <c r="B4" s="133" t="str">
        <f ca="1">"Area of application: " &amp; ApplicationArea()</f>
        <v>Area of application: Global</v>
      </c>
      <c r="C4" s="134"/>
      <c r="D4" s="134"/>
      <c r="E4" s="134"/>
      <c r="F4" s="134" t="str">
        <f ca="1">"Version: " &amp; Version()</f>
        <v>Version: 5</v>
      </c>
      <c r="G4" s="134"/>
      <c r="H4" s="134"/>
      <c r="I4" s="134"/>
      <c r="J4" s="134" t="str">
        <f ca="1">"Keywords: " &amp; Keywords()</f>
        <v>Keywords: Internal;Audit Plan;</v>
      </c>
      <c r="K4" s="134"/>
      <c r="L4" s="134"/>
      <c r="M4" s="134"/>
      <c r="N4" s="134" t="str">
        <f ca="1">"Process: " &amp; Processes()</f>
        <v>Process: Produktenstehung managen Komponenten / creation of products components;Produktenstehung managen Interieur / creation of products interior;Produktenstehung managen Elektrik / creation of products electrical</v>
      </c>
      <c r="O4" s="134"/>
      <c r="P4" s="134"/>
      <c r="Q4" s="135"/>
      <c r="R4" s="1"/>
      <c r="S4" s="1"/>
    </row>
    <row r="5" spans="2:19" x14ac:dyDescent="0.25">
      <c r="B5" s="130"/>
      <c r="C5" s="131"/>
      <c r="D5" s="131"/>
      <c r="E5" s="131"/>
      <c r="F5" s="131"/>
      <c r="G5" s="131"/>
      <c r="H5" s="131"/>
      <c r="I5" s="131"/>
      <c r="J5" s="131"/>
      <c r="K5" s="131"/>
      <c r="L5" s="131"/>
      <c r="M5" s="131"/>
      <c r="N5" s="131"/>
      <c r="O5" s="131"/>
      <c r="P5" s="131"/>
      <c r="Q5" s="132"/>
      <c r="R5" s="1"/>
      <c r="S5" s="1"/>
    </row>
    <row r="6" spans="2:19" ht="52.5" customHeight="1" thickBot="1" x14ac:dyDescent="0.3">
      <c r="B6" s="6" t="s">
        <v>1</v>
      </c>
      <c r="C6" s="136" t="s">
        <v>122</v>
      </c>
      <c r="D6" s="137"/>
      <c r="E6" s="137"/>
      <c r="F6" s="138"/>
      <c r="G6" s="139" t="s">
        <v>2</v>
      </c>
      <c r="H6" s="140"/>
      <c r="I6" s="141" t="s">
        <v>169</v>
      </c>
      <c r="J6" s="142"/>
      <c r="K6" s="142"/>
      <c r="L6" s="142"/>
      <c r="M6" s="143" t="s">
        <v>7</v>
      </c>
      <c r="N6" s="144"/>
      <c r="O6" s="141" t="s">
        <v>120</v>
      </c>
      <c r="P6" s="142"/>
      <c r="Q6" s="145"/>
      <c r="R6" s="1"/>
      <c r="S6" s="1"/>
    </row>
    <row r="7" spans="2:19" x14ac:dyDescent="0.25">
      <c r="B7" s="11"/>
      <c r="C7" s="4"/>
      <c r="D7" s="4"/>
      <c r="E7" s="4"/>
      <c r="F7" s="4"/>
      <c r="G7" s="4"/>
      <c r="H7" s="4"/>
      <c r="I7" s="4"/>
      <c r="J7" s="4"/>
      <c r="K7" s="4"/>
      <c r="L7" s="4"/>
      <c r="M7" s="4"/>
      <c r="N7" s="4"/>
      <c r="O7" s="4"/>
      <c r="P7" s="4"/>
      <c r="Q7" s="4"/>
      <c r="R7" s="1"/>
      <c r="S7" s="1"/>
    </row>
    <row r="8" spans="2:19" x14ac:dyDescent="0.25">
      <c r="B8" s="4"/>
      <c r="C8" s="4"/>
      <c r="D8" s="9" t="s">
        <v>3</v>
      </c>
      <c r="E8" s="129" t="s">
        <v>4</v>
      </c>
      <c r="F8" s="129"/>
      <c r="G8" s="129"/>
      <c r="H8" s="129"/>
      <c r="I8" s="129"/>
      <c r="J8" s="129"/>
      <c r="K8" s="129" t="s">
        <v>5</v>
      </c>
      <c r="L8" s="129"/>
      <c r="M8" s="129"/>
      <c r="N8" s="129" t="s">
        <v>6</v>
      </c>
      <c r="O8" s="129"/>
      <c r="P8" s="4"/>
      <c r="Q8" s="4"/>
      <c r="R8" s="1"/>
      <c r="S8" s="1"/>
    </row>
    <row r="9" spans="2:19" x14ac:dyDescent="0.25">
      <c r="B9" s="7"/>
      <c r="C9" s="8"/>
      <c r="D9" s="10">
        <v>1</v>
      </c>
      <c r="E9" s="127" t="s">
        <v>160</v>
      </c>
      <c r="F9" s="127"/>
      <c r="G9" s="127"/>
      <c r="H9" s="127"/>
      <c r="I9" s="127"/>
      <c r="J9" s="127"/>
      <c r="K9" s="127" t="s">
        <v>121</v>
      </c>
      <c r="L9" s="127"/>
      <c r="M9" s="127"/>
      <c r="N9" s="128">
        <v>43440</v>
      </c>
      <c r="O9" s="127"/>
      <c r="P9" s="4"/>
      <c r="Q9" s="4"/>
      <c r="R9" s="2"/>
      <c r="S9" s="2"/>
    </row>
    <row r="10" spans="2:19" x14ac:dyDescent="0.25">
      <c r="B10" s="7"/>
      <c r="C10" s="8"/>
      <c r="D10" s="10">
        <v>2</v>
      </c>
      <c r="E10" s="127" t="s">
        <v>161</v>
      </c>
      <c r="F10" s="127"/>
      <c r="G10" s="127"/>
      <c r="H10" s="127"/>
      <c r="I10" s="127"/>
      <c r="J10" s="127"/>
      <c r="K10" s="127" t="s">
        <v>162</v>
      </c>
      <c r="L10" s="127"/>
      <c r="M10" s="127"/>
      <c r="N10" s="128">
        <v>43606</v>
      </c>
      <c r="O10" s="127"/>
      <c r="P10" s="4"/>
      <c r="Q10" s="4"/>
      <c r="R10" s="3"/>
      <c r="S10" s="2"/>
    </row>
    <row r="11" spans="2:19" x14ac:dyDescent="0.25">
      <c r="B11" s="7"/>
      <c r="C11" s="8"/>
      <c r="D11" s="10">
        <v>3</v>
      </c>
      <c r="E11" s="127" t="s">
        <v>163</v>
      </c>
      <c r="F11" s="127"/>
      <c r="G11" s="127"/>
      <c r="H11" s="127"/>
      <c r="I11" s="127"/>
      <c r="J11" s="127"/>
      <c r="K11" s="127" t="s">
        <v>162</v>
      </c>
      <c r="L11" s="127"/>
      <c r="M11" s="127"/>
      <c r="N11" s="128">
        <v>43777</v>
      </c>
      <c r="O11" s="127"/>
      <c r="P11" s="4"/>
      <c r="Q11" s="4"/>
      <c r="R11" s="3"/>
      <c r="S11" s="2"/>
    </row>
    <row r="12" spans="2:19" x14ac:dyDescent="0.25">
      <c r="B12" s="7"/>
      <c r="C12" s="8"/>
      <c r="D12" s="10">
        <v>4</v>
      </c>
      <c r="E12" s="127" t="s">
        <v>168</v>
      </c>
      <c r="F12" s="127"/>
      <c r="G12" s="127"/>
      <c r="H12" s="127"/>
      <c r="I12" s="127"/>
      <c r="J12" s="127"/>
      <c r="K12" s="127" t="s">
        <v>162</v>
      </c>
      <c r="L12" s="127"/>
      <c r="M12" s="127"/>
      <c r="N12" s="128">
        <v>44237</v>
      </c>
      <c r="O12" s="127"/>
      <c r="P12" s="4"/>
      <c r="Q12" s="4"/>
      <c r="R12" s="3"/>
      <c r="S12" s="2"/>
    </row>
    <row r="13" spans="2:19" x14ac:dyDescent="0.25">
      <c r="B13" s="7"/>
      <c r="C13" s="8"/>
      <c r="D13" s="10">
        <v>5</v>
      </c>
      <c r="E13" s="127" t="s">
        <v>169</v>
      </c>
      <c r="F13" s="127"/>
      <c r="G13" s="127"/>
      <c r="H13" s="127"/>
      <c r="I13" s="127"/>
      <c r="J13" s="127"/>
      <c r="K13" s="127" t="s">
        <v>162</v>
      </c>
      <c r="L13" s="127"/>
      <c r="M13" s="127"/>
      <c r="N13" s="128">
        <v>44257</v>
      </c>
      <c r="O13" s="127"/>
      <c r="P13" s="4"/>
      <c r="Q13" s="4"/>
      <c r="R13" s="3"/>
      <c r="S13" s="2"/>
    </row>
    <row r="14" spans="2:19" x14ac:dyDescent="0.25">
      <c r="B14" s="7"/>
      <c r="C14" s="4"/>
      <c r="D14" s="10"/>
      <c r="E14" s="127"/>
      <c r="F14" s="127"/>
      <c r="G14" s="127"/>
      <c r="H14" s="127"/>
      <c r="I14" s="127"/>
      <c r="J14" s="127"/>
      <c r="K14" s="127"/>
      <c r="L14" s="127"/>
      <c r="M14" s="127"/>
      <c r="N14" s="127"/>
      <c r="O14" s="127"/>
      <c r="P14" s="4"/>
      <c r="Q14" s="4"/>
      <c r="R14" s="1"/>
      <c r="S14" s="1"/>
    </row>
    <row r="15" spans="2:19" x14ac:dyDescent="0.25">
      <c r="B15" s="7"/>
      <c r="C15" s="4"/>
      <c r="D15" s="7"/>
      <c r="E15" s="4"/>
      <c r="F15" s="4"/>
      <c r="G15" s="4"/>
      <c r="H15" s="4"/>
      <c r="I15" s="4"/>
      <c r="J15" s="4"/>
      <c r="K15" s="4"/>
      <c r="L15" s="4"/>
      <c r="M15" s="4"/>
      <c r="N15" s="4"/>
      <c r="O15" s="4"/>
      <c r="P15" s="4"/>
      <c r="Q15" s="4"/>
      <c r="R15" s="1"/>
      <c r="S15" s="1"/>
    </row>
    <row r="16" spans="2:19" x14ac:dyDescent="0.25">
      <c r="B16" s="4"/>
      <c r="C16" s="4"/>
      <c r="D16" s="4"/>
      <c r="E16" s="4"/>
      <c r="F16" s="4"/>
      <c r="G16" s="4"/>
      <c r="H16" s="4"/>
      <c r="I16" s="4"/>
      <c r="J16" s="4"/>
      <c r="K16" s="4"/>
      <c r="L16" s="4"/>
      <c r="M16" s="4"/>
      <c r="N16" s="4"/>
      <c r="O16" s="4"/>
      <c r="P16" s="4"/>
      <c r="Q16" s="4"/>
      <c r="R16" s="1"/>
      <c r="S16" s="1"/>
    </row>
    <row r="17" spans="2:17" x14ac:dyDescent="0.25">
      <c r="B17" s="4"/>
      <c r="C17" s="4"/>
      <c r="D17" s="4"/>
      <c r="E17" s="4"/>
      <c r="F17" s="4"/>
      <c r="G17" s="4"/>
      <c r="H17" s="4"/>
      <c r="I17" s="4"/>
      <c r="J17" s="4"/>
      <c r="K17" s="4"/>
      <c r="L17" s="4"/>
      <c r="M17" s="4"/>
      <c r="N17" s="4"/>
      <c r="O17" s="4"/>
      <c r="P17" s="4"/>
      <c r="Q17" s="4"/>
    </row>
    <row r="18" spans="2:17" x14ac:dyDescent="0.25">
      <c r="B18" s="4"/>
      <c r="C18" s="11"/>
      <c r="D18" s="4"/>
      <c r="E18" s="4"/>
      <c r="F18" s="4"/>
      <c r="G18" s="4"/>
      <c r="H18" s="4"/>
      <c r="I18" s="4"/>
      <c r="J18" s="4"/>
      <c r="K18" s="4"/>
      <c r="L18" s="4"/>
      <c r="M18" s="4"/>
      <c r="N18" s="4"/>
      <c r="O18" s="4"/>
      <c r="P18" s="4"/>
      <c r="Q18" s="4"/>
    </row>
    <row r="19" spans="2:17" x14ac:dyDescent="0.25">
      <c r="B19" s="4"/>
      <c r="C19" s="4"/>
      <c r="D19" s="4"/>
      <c r="E19" s="4"/>
      <c r="F19" s="4"/>
      <c r="G19" s="4"/>
      <c r="H19" s="4"/>
      <c r="I19" s="4"/>
      <c r="J19" s="4"/>
      <c r="K19" s="4"/>
      <c r="L19" s="4"/>
      <c r="M19" s="4"/>
      <c r="N19" s="4"/>
      <c r="O19" s="4"/>
      <c r="P19" s="4"/>
      <c r="Q19" s="4"/>
    </row>
    <row r="20" spans="2:17" x14ac:dyDescent="0.25">
      <c r="B20" s="4"/>
      <c r="C20" s="4"/>
      <c r="D20" s="4"/>
      <c r="E20" s="4"/>
      <c r="F20" s="4"/>
      <c r="G20" s="4"/>
      <c r="H20" s="4"/>
      <c r="I20" s="4"/>
      <c r="J20" s="11"/>
      <c r="K20" s="4"/>
      <c r="L20" s="4"/>
      <c r="M20" s="4"/>
      <c r="N20" s="4"/>
      <c r="O20" s="4"/>
      <c r="P20" s="4"/>
      <c r="Q20" s="4"/>
    </row>
    <row r="21" spans="2:17" x14ac:dyDescent="0.25">
      <c r="B21" s="4"/>
      <c r="C21" s="4"/>
      <c r="D21" s="4"/>
      <c r="E21" s="4"/>
      <c r="F21" s="4"/>
      <c r="G21" s="4"/>
      <c r="H21" s="4"/>
      <c r="I21" s="4"/>
      <c r="J21" s="4"/>
      <c r="K21" s="4"/>
      <c r="L21" s="4"/>
      <c r="M21" s="4"/>
      <c r="N21" s="4"/>
      <c r="O21" s="4"/>
      <c r="P21" s="4"/>
      <c r="Q21" s="4"/>
    </row>
    <row r="22" spans="2:17" x14ac:dyDescent="0.25">
      <c r="B22" s="4"/>
      <c r="C22" s="13"/>
      <c r="D22" s="13"/>
      <c r="E22" s="13"/>
      <c r="F22" s="13"/>
      <c r="G22" s="4"/>
      <c r="H22" s="4"/>
      <c r="I22" s="4"/>
      <c r="J22" s="4"/>
      <c r="K22" s="4"/>
      <c r="L22" s="4"/>
      <c r="M22" s="4"/>
      <c r="N22" s="4"/>
      <c r="O22" s="4"/>
      <c r="P22" s="4"/>
      <c r="Q22" s="4"/>
    </row>
    <row r="23" spans="2:17" x14ac:dyDescent="0.25">
      <c r="B23" s="4"/>
      <c r="C23" s="14"/>
      <c r="D23" s="14"/>
      <c r="E23" s="14"/>
      <c r="F23" s="14"/>
      <c r="G23" s="4"/>
      <c r="H23" s="4"/>
      <c r="I23" s="4"/>
      <c r="J23" s="4"/>
      <c r="K23" s="4"/>
      <c r="L23" s="4"/>
      <c r="M23" s="4"/>
      <c r="N23" s="4"/>
      <c r="O23" s="4"/>
      <c r="P23" s="4"/>
      <c r="Q23" s="4"/>
    </row>
    <row r="24" spans="2:17" x14ac:dyDescent="0.25">
      <c r="B24" s="4"/>
      <c r="C24" s="14"/>
      <c r="D24" s="14"/>
      <c r="E24" s="14"/>
      <c r="F24" s="14"/>
      <c r="G24" s="4"/>
      <c r="H24" s="4"/>
      <c r="I24" s="4"/>
      <c r="J24" s="4"/>
      <c r="K24" s="4"/>
      <c r="L24" s="4"/>
      <c r="M24" s="4"/>
      <c r="N24" s="4"/>
      <c r="O24" s="4"/>
      <c r="P24" s="4"/>
      <c r="Q24" s="4"/>
    </row>
    <row r="25" spans="2:17" x14ac:dyDescent="0.25">
      <c r="B25" s="4"/>
      <c r="C25" s="14"/>
      <c r="D25" s="14"/>
      <c r="E25" s="14"/>
      <c r="F25" s="14"/>
      <c r="G25" s="4"/>
      <c r="H25" s="11"/>
      <c r="I25" s="4"/>
      <c r="J25" s="4"/>
      <c r="K25" s="4"/>
      <c r="L25" s="4"/>
      <c r="M25" s="4"/>
      <c r="N25" s="4"/>
      <c r="O25" s="4"/>
      <c r="P25" s="4"/>
      <c r="Q25" s="4"/>
    </row>
    <row r="26" spans="2:17" x14ac:dyDescent="0.25">
      <c r="B26" s="4"/>
      <c r="C26" s="14"/>
      <c r="D26" s="14"/>
      <c r="E26" s="14"/>
      <c r="F26" s="14"/>
      <c r="G26" s="4"/>
      <c r="H26" s="4"/>
      <c r="I26" s="4"/>
      <c r="J26" s="4"/>
      <c r="K26" s="4"/>
      <c r="L26" s="4"/>
      <c r="M26" s="4"/>
      <c r="N26" s="4"/>
      <c r="O26" s="4"/>
      <c r="P26" s="4"/>
      <c r="Q26" s="4"/>
    </row>
    <row r="27" spans="2:17" x14ac:dyDescent="0.25">
      <c r="B27" s="4"/>
      <c r="C27" s="14"/>
      <c r="D27" s="14"/>
      <c r="E27" s="14"/>
      <c r="F27" s="14"/>
      <c r="G27" s="4"/>
      <c r="H27" s="4"/>
      <c r="I27" s="4"/>
      <c r="J27" s="4"/>
      <c r="K27" s="4"/>
      <c r="L27" s="4"/>
      <c r="M27" s="4"/>
      <c r="N27" s="4"/>
      <c r="O27" s="4"/>
      <c r="P27" s="4"/>
      <c r="Q27" s="4"/>
    </row>
    <row r="28" spans="2:17" x14ac:dyDescent="0.25">
      <c r="B28" s="4"/>
      <c r="C28" s="4"/>
      <c r="D28" s="4"/>
      <c r="E28" s="11"/>
      <c r="F28" s="4"/>
      <c r="G28" s="4"/>
      <c r="H28" s="4"/>
      <c r="I28" s="4"/>
      <c r="J28" s="4"/>
      <c r="K28" s="4"/>
      <c r="L28" s="4"/>
      <c r="M28" s="4"/>
      <c r="N28" s="4"/>
      <c r="O28" s="4"/>
      <c r="P28" s="4"/>
      <c r="Q28" s="4"/>
    </row>
    <row r="29" spans="2:17" x14ac:dyDescent="0.25">
      <c r="B29" s="4"/>
      <c r="C29" s="4"/>
      <c r="D29" s="4"/>
      <c r="E29" s="4"/>
      <c r="F29" s="4"/>
      <c r="G29" s="4"/>
      <c r="H29" s="4"/>
      <c r="I29" s="4"/>
      <c r="J29" s="4"/>
      <c r="K29" s="4"/>
      <c r="L29" s="4"/>
      <c r="M29" s="4"/>
      <c r="N29" s="4"/>
      <c r="O29" s="4"/>
      <c r="P29" s="4"/>
      <c r="Q29" s="4"/>
    </row>
    <row r="30" spans="2:17" x14ac:dyDescent="0.25">
      <c r="B30" s="4"/>
      <c r="C30" s="4"/>
      <c r="D30" s="4"/>
      <c r="E30" s="4"/>
      <c r="F30" s="4"/>
      <c r="G30" s="4"/>
      <c r="H30" s="4"/>
      <c r="I30" s="4"/>
      <c r="J30" s="4"/>
      <c r="K30" s="4"/>
      <c r="L30" s="4"/>
      <c r="M30" s="4"/>
      <c r="N30" s="4"/>
      <c r="O30" s="4"/>
      <c r="P30" s="4"/>
      <c r="Q30" s="4"/>
    </row>
    <row r="31" spans="2:17" x14ac:dyDescent="0.25">
      <c r="B31" s="4"/>
      <c r="C31" s="4"/>
      <c r="D31" s="4"/>
      <c r="E31" s="4"/>
      <c r="F31" s="4"/>
      <c r="G31" s="4"/>
      <c r="H31" s="4"/>
      <c r="I31" s="4"/>
      <c r="J31" s="4"/>
      <c r="K31" s="4"/>
      <c r="L31" s="4"/>
      <c r="M31" s="4"/>
      <c r="N31" s="4"/>
      <c r="O31" s="4"/>
      <c r="P31" s="4"/>
      <c r="Q31" s="4"/>
    </row>
    <row r="32" spans="2:17" x14ac:dyDescent="0.25">
      <c r="B32" s="4"/>
      <c r="C32" s="4"/>
      <c r="D32" s="4"/>
      <c r="E32" s="4"/>
      <c r="F32" s="4"/>
      <c r="G32" s="4"/>
      <c r="H32" s="4"/>
      <c r="I32" s="4"/>
      <c r="J32" s="4"/>
      <c r="K32" s="4"/>
      <c r="L32" s="4"/>
      <c r="M32" s="4"/>
      <c r="N32" s="4"/>
      <c r="O32" s="4"/>
      <c r="P32" s="4"/>
      <c r="Q32" s="4"/>
    </row>
    <row r="33" spans="2:17" x14ac:dyDescent="0.25">
      <c r="B33" s="4"/>
      <c r="C33" s="4"/>
      <c r="D33" s="4"/>
      <c r="E33" s="4"/>
      <c r="F33" s="4"/>
      <c r="G33" s="4"/>
      <c r="H33" s="4"/>
      <c r="I33" s="4"/>
      <c r="J33" s="4"/>
      <c r="K33" s="4"/>
      <c r="L33" s="4"/>
      <c r="M33" s="4"/>
      <c r="N33" s="4"/>
      <c r="O33" s="4"/>
      <c r="P33" s="4"/>
      <c r="Q33" s="4"/>
    </row>
    <row r="34" spans="2:17" x14ac:dyDescent="0.25">
      <c r="B34" s="4"/>
      <c r="C34" s="4"/>
      <c r="D34" s="4"/>
      <c r="E34" s="4"/>
      <c r="F34" s="4"/>
      <c r="G34" s="4"/>
      <c r="H34" s="4"/>
      <c r="I34" s="4"/>
      <c r="J34" s="4"/>
      <c r="K34" s="4"/>
      <c r="L34" s="4"/>
      <c r="M34" s="4"/>
      <c r="N34" s="4"/>
      <c r="O34" s="4"/>
      <c r="P34" s="4"/>
      <c r="Q34" s="4"/>
    </row>
    <row r="35" spans="2:17" x14ac:dyDescent="0.25">
      <c r="B35" s="4"/>
      <c r="C35" s="4"/>
      <c r="D35" s="4"/>
      <c r="E35" s="4"/>
      <c r="F35" s="4"/>
      <c r="G35" s="4"/>
      <c r="H35" s="4"/>
      <c r="I35" s="4"/>
      <c r="J35" s="4"/>
      <c r="K35" s="4"/>
      <c r="L35" s="4"/>
      <c r="M35" s="4"/>
      <c r="N35" s="4"/>
      <c r="O35" s="4"/>
      <c r="P35" s="4"/>
      <c r="Q35" s="4"/>
    </row>
    <row r="36" spans="2:17" x14ac:dyDescent="0.25">
      <c r="B36" s="4"/>
      <c r="C36" s="4"/>
      <c r="D36" s="4"/>
      <c r="E36" s="4"/>
      <c r="F36" s="4"/>
      <c r="G36" s="4"/>
      <c r="H36" s="4"/>
      <c r="I36" s="4"/>
      <c r="J36" s="4"/>
      <c r="K36" s="4"/>
      <c r="L36" s="4"/>
      <c r="M36" s="4"/>
      <c r="N36" s="4"/>
      <c r="O36" s="4"/>
      <c r="P36" s="4"/>
      <c r="Q36" s="4"/>
    </row>
    <row r="37" spans="2:17" x14ac:dyDescent="0.25">
      <c r="B37" s="4"/>
      <c r="C37" s="4"/>
      <c r="D37" s="4"/>
      <c r="E37" s="4"/>
      <c r="F37" s="4"/>
      <c r="G37" s="4"/>
      <c r="H37" s="4"/>
      <c r="I37" s="4"/>
      <c r="J37" s="4"/>
      <c r="K37" s="4"/>
      <c r="L37" s="4"/>
      <c r="M37" s="4"/>
      <c r="N37" s="4"/>
      <c r="O37" s="4"/>
      <c r="P37" s="4"/>
      <c r="Q37" s="4"/>
    </row>
    <row r="38" spans="2:17" x14ac:dyDescent="0.25">
      <c r="B38" s="4"/>
      <c r="C38" s="4"/>
      <c r="D38" s="4"/>
      <c r="E38" s="4"/>
      <c r="F38" s="4"/>
      <c r="G38" s="4"/>
      <c r="H38" s="4"/>
      <c r="I38" s="4"/>
      <c r="J38" s="4"/>
      <c r="K38" s="4"/>
      <c r="L38" s="4"/>
      <c r="M38" s="4"/>
      <c r="N38" s="4"/>
      <c r="O38" s="4"/>
      <c r="P38" s="4"/>
      <c r="Q38" s="4"/>
    </row>
    <row r="39" spans="2:17" x14ac:dyDescent="0.25">
      <c r="B39" s="4"/>
      <c r="C39" s="4"/>
      <c r="D39" s="4"/>
      <c r="E39" s="4"/>
      <c r="F39" s="4"/>
      <c r="G39" s="4"/>
      <c r="H39" s="4"/>
      <c r="I39" s="4"/>
      <c r="J39" s="4"/>
      <c r="K39" s="4"/>
      <c r="L39" s="4"/>
      <c r="M39" s="4"/>
      <c r="N39" s="4"/>
      <c r="O39" s="4"/>
      <c r="P39" s="4"/>
      <c r="Q39" s="4"/>
    </row>
    <row r="43" spans="2:17" ht="15.75" x14ac:dyDescent="0.25">
      <c r="B43" s="4"/>
      <c r="C43" s="4"/>
      <c r="D43" s="4"/>
      <c r="E43" s="4"/>
      <c r="F43" s="4"/>
      <c r="G43" s="4"/>
      <c r="H43" s="4"/>
      <c r="I43" s="4"/>
      <c r="J43" s="5"/>
      <c r="K43" s="5"/>
      <c r="L43" s="5"/>
      <c r="M43" s="5"/>
      <c r="N43" s="5"/>
      <c r="O43" s="5"/>
      <c r="P43" s="5"/>
      <c r="Q43" s="5"/>
    </row>
    <row r="44" spans="2:17" x14ac:dyDescent="0.25">
      <c r="B44" s="4"/>
      <c r="C44" s="4"/>
      <c r="D44" s="4"/>
      <c r="E44" s="4"/>
      <c r="F44" s="4"/>
      <c r="G44" s="4"/>
      <c r="H44" s="4"/>
      <c r="I44" s="4"/>
      <c r="J44" s="4"/>
      <c r="K44" s="4"/>
      <c r="L44" s="4"/>
      <c r="M44" s="4"/>
      <c r="N44" s="4"/>
      <c r="O44" s="4"/>
      <c r="P44" s="4"/>
      <c r="Q44" s="4"/>
    </row>
    <row r="45" spans="2:17" ht="15.75" x14ac:dyDescent="0.25">
      <c r="B45" s="4"/>
      <c r="C45" s="4"/>
      <c r="D45" s="4"/>
      <c r="E45" s="4"/>
      <c r="F45" s="4"/>
      <c r="G45" s="4"/>
      <c r="H45" s="4"/>
      <c r="I45" s="4"/>
      <c r="J45" s="5"/>
      <c r="K45" s="5"/>
      <c r="L45" s="5"/>
      <c r="M45" s="5"/>
      <c r="N45" s="5"/>
      <c r="O45" s="5"/>
      <c r="P45" s="5"/>
      <c r="Q45" s="5"/>
    </row>
    <row r="46" spans="2:17" x14ac:dyDescent="0.25">
      <c r="B46" s="4"/>
      <c r="C46" s="4"/>
      <c r="D46" s="4"/>
      <c r="E46" s="4"/>
      <c r="F46" s="4"/>
      <c r="G46" s="4"/>
      <c r="H46" s="4"/>
      <c r="I46" s="4"/>
      <c r="J46" s="4"/>
      <c r="K46" s="4"/>
      <c r="L46" s="4"/>
      <c r="M46" s="4"/>
      <c r="N46" s="4"/>
      <c r="O46" s="4"/>
      <c r="P46" s="4"/>
      <c r="Q46" s="4"/>
    </row>
    <row r="47" spans="2:17" x14ac:dyDescent="0.25">
      <c r="B47" s="4"/>
      <c r="C47" s="4"/>
      <c r="D47" s="4"/>
      <c r="E47" s="4"/>
      <c r="F47" s="4"/>
      <c r="G47" s="4"/>
      <c r="H47" s="4"/>
      <c r="I47" s="4"/>
      <c r="J47" s="4"/>
      <c r="K47" s="4"/>
      <c r="L47" s="4"/>
      <c r="M47" s="4"/>
      <c r="N47" s="4"/>
      <c r="O47" s="4"/>
      <c r="P47" s="4"/>
      <c r="Q47" s="4"/>
    </row>
  </sheetData>
  <sheetProtection password="EA41" sheet="1" objects="1" scenarios="1"/>
  <protectedRanges>
    <protectedRange sqref="A7:XFD1048576 A6:G6 I6:XFD6" name="Rango1"/>
  </protectedRanges>
  <mergeCells count="40">
    <mergeCell ref="N3:Q3"/>
    <mergeCell ref="B1:Q1"/>
    <mergeCell ref="B2:E2"/>
    <mergeCell ref="B3:E3"/>
    <mergeCell ref="F2:I2"/>
    <mergeCell ref="F3:I3"/>
    <mergeCell ref="J2:M2"/>
    <mergeCell ref="J3:M3"/>
    <mergeCell ref="N2:Q2"/>
    <mergeCell ref="C6:F6"/>
    <mergeCell ref="G6:H6"/>
    <mergeCell ref="I6:L6"/>
    <mergeCell ref="M6:N6"/>
    <mergeCell ref="O6:Q6"/>
    <mergeCell ref="B5:Q5"/>
    <mergeCell ref="B4:E4"/>
    <mergeCell ref="F4:I4"/>
    <mergeCell ref="J4:M4"/>
    <mergeCell ref="N4:Q4"/>
    <mergeCell ref="N8:O8"/>
    <mergeCell ref="K9:M9"/>
    <mergeCell ref="N9:O9"/>
    <mergeCell ref="E10:J10"/>
    <mergeCell ref="K10:M10"/>
    <mergeCell ref="N10:O10"/>
    <mergeCell ref="E8:J8"/>
    <mergeCell ref="E9:J9"/>
    <mergeCell ref="K8:M8"/>
    <mergeCell ref="N14:O14"/>
    <mergeCell ref="N11:O11"/>
    <mergeCell ref="E12:J12"/>
    <mergeCell ref="K12:M12"/>
    <mergeCell ref="N12:O12"/>
    <mergeCell ref="E13:J13"/>
    <mergeCell ref="K13:M13"/>
    <mergeCell ref="N13:O13"/>
    <mergeCell ref="E11:J11"/>
    <mergeCell ref="K11:M11"/>
    <mergeCell ref="E14:J14"/>
    <mergeCell ref="K14:M14"/>
  </mergeCells>
  <pageMargins left="0.7" right="0.7" top="0.75" bottom="0.75" header="0.3" footer="0.3"/>
  <pageSetup paperSize="9" scale="71" orientation="landscape" r:id="rId1"/>
  <headerFooter>
    <oddFooter>&amp;LInternal: All rights reserved. Distribution within DRÄXLMAIER Group, customer and partners.</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N279"/>
  <sheetViews>
    <sheetView showGridLines="0" tabSelected="1" zoomScaleNormal="100" workbookViewId="0">
      <selection activeCell="J8" sqref="J8:M8"/>
    </sheetView>
  </sheetViews>
  <sheetFormatPr defaultColWidth="11.42578125" defaultRowHeight="12.75" x14ac:dyDescent="0.2"/>
  <cols>
    <col min="1" max="1" width="3" style="19" customWidth="1"/>
    <col min="2" max="2" width="9.28515625" style="19" customWidth="1"/>
    <col min="3" max="3" width="3.7109375" style="19" customWidth="1"/>
    <col min="4" max="4" width="4.7109375" style="19" customWidth="1"/>
    <col min="5" max="5" width="1.7109375" style="19" customWidth="1"/>
    <col min="6" max="8" width="5.7109375" style="19" customWidth="1"/>
    <col min="9" max="9" width="3.7109375" style="19" customWidth="1"/>
    <col min="10" max="10" width="4.7109375" style="19" customWidth="1"/>
    <col min="11" max="11" width="5.7109375" style="19" customWidth="1"/>
    <col min="12" max="12" width="6.140625" style="19" customWidth="1"/>
    <col min="13" max="13" width="5.7109375" style="19" customWidth="1"/>
    <col min="14" max="14" width="0.85546875" style="19" customWidth="1"/>
    <col min="15" max="15" width="6.7109375" style="19" customWidth="1"/>
    <col min="16" max="16" width="5.7109375" style="19" customWidth="1"/>
    <col min="17" max="17" width="6.42578125" style="19" customWidth="1"/>
    <col min="18" max="19" width="5.7109375" style="19" customWidth="1"/>
    <col min="20" max="24" width="72.28515625" style="19" customWidth="1"/>
    <col min="25" max="25" width="16.85546875" style="20" customWidth="1"/>
    <col min="26" max="26" width="10.42578125" style="20" customWidth="1"/>
    <col min="27" max="27" width="11" style="20" customWidth="1"/>
    <col min="28" max="28" width="10.85546875" style="20" customWidth="1"/>
    <col min="29" max="29" width="17.5703125" style="20" customWidth="1"/>
    <col min="30" max="30" width="9.7109375" style="20" customWidth="1"/>
    <col min="31" max="31" width="17.28515625" style="20" customWidth="1"/>
    <col min="32" max="32" width="10.42578125" style="20" customWidth="1"/>
    <col min="33" max="33" width="10.7109375" style="20" customWidth="1"/>
    <col min="34" max="34" width="8.140625" style="20" customWidth="1"/>
    <col min="35" max="35" width="8.7109375" style="20" customWidth="1"/>
    <col min="36" max="36" width="11.42578125" style="20"/>
    <col min="37" max="256" width="11.42578125" style="19"/>
    <col min="257" max="257" width="3" style="19" customWidth="1"/>
    <col min="258" max="258" width="9.28515625" style="19" customWidth="1"/>
    <col min="259" max="259" width="3.7109375" style="19" customWidth="1"/>
    <col min="260" max="260" width="4.7109375" style="19" customWidth="1"/>
    <col min="261" max="261" width="1.7109375" style="19" customWidth="1"/>
    <col min="262" max="264" width="5.7109375" style="19" customWidth="1"/>
    <col min="265" max="265" width="3.7109375" style="19" customWidth="1"/>
    <col min="266" max="266" width="4.7109375" style="19" customWidth="1"/>
    <col min="267" max="267" width="5.7109375" style="19" customWidth="1"/>
    <col min="268" max="268" width="6.140625" style="19" customWidth="1"/>
    <col min="269" max="269" width="5.7109375" style="19" customWidth="1"/>
    <col min="270" max="270" width="0.85546875" style="19" customWidth="1"/>
    <col min="271" max="271" width="6.7109375" style="19" customWidth="1"/>
    <col min="272" max="272" width="5.7109375" style="19" customWidth="1"/>
    <col min="273" max="273" width="6.42578125" style="19" customWidth="1"/>
    <col min="274" max="275" width="5.7109375" style="19" customWidth="1"/>
    <col min="276" max="280" width="27.7109375" style="19" customWidth="1"/>
    <col min="281" max="281" width="16.85546875" style="19" customWidth="1"/>
    <col min="282" max="282" width="10.42578125" style="19" customWidth="1"/>
    <col min="283" max="283" width="11" style="19" customWidth="1"/>
    <col min="284" max="284" width="10.85546875" style="19" customWidth="1"/>
    <col min="285" max="285" width="17.5703125" style="19" customWidth="1"/>
    <col min="286" max="286" width="9.7109375" style="19" customWidth="1"/>
    <col min="287" max="287" width="17.28515625" style="19" customWidth="1"/>
    <col min="288" max="288" width="10.42578125" style="19" customWidth="1"/>
    <col min="289" max="289" width="10.7109375" style="19" customWidth="1"/>
    <col min="290" max="290" width="8.140625" style="19" customWidth="1"/>
    <col min="291" max="291" width="8.7109375" style="19" customWidth="1"/>
    <col min="292" max="512" width="11.42578125" style="19"/>
    <col min="513" max="513" width="3" style="19" customWidth="1"/>
    <col min="514" max="514" width="9.28515625" style="19" customWidth="1"/>
    <col min="515" max="515" width="3.7109375" style="19" customWidth="1"/>
    <col min="516" max="516" width="4.7109375" style="19" customWidth="1"/>
    <col min="517" max="517" width="1.7109375" style="19" customWidth="1"/>
    <col min="518" max="520" width="5.7109375" style="19" customWidth="1"/>
    <col min="521" max="521" width="3.7109375" style="19" customWidth="1"/>
    <col min="522" max="522" width="4.7109375" style="19" customWidth="1"/>
    <col min="523" max="523" width="5.7109375" style="19" customWidth="1"/>
    <col min="524" max="524" width="6.140625" style="19" customWidth="1"/>
    <col min="525" max="525" width="5.7109375" style="19" customWidth="1"/>
    <col min="526" max="526" width="0.85546875" style="19" customWidth="1"/>
    <col min="527" max="527" width="6.7109375" style="19" customWidth="1"/>
    <col min="528" max="528" width="5.7109375" style="19" customWidth="1"/>
    <col min="529" max="529" width="6.42578125" style="19" customWidth="1"/>
    <col min="530" max="531" width="5.7109375" style="19" customWidth="1"/>
    <col min="532" max="536" width="27.7109375" style="19" customWidth="1"/>
    <col min="537" max="537" width="16.85546875" style="19" customWidth="1"/>
    <col min="538" max="538" width="10.42578125" style="19" customWidth="1"/>
    <col min="539" max="539" width="11" style="19" customWidth="1"/>
    <col min="540" max="540" width="10.85546875" style="19" customWidth="1"/>
    <col min="541" max="541" width="17.5703125" style="19" customWidth="1"/>
    <col min="542" max="542" width="9.7109375" style="19" customWidth="1"/>
    <col min="543" max="543" width="17.28515625" style="19" customWidth="1"/>
    <col min="544" max="544" width="10.42578125" style="19" customWidth="1"/>
    <col min="545" max="545" width="10.7109375" style="19" customWidth="1"/>
    <col min="546" max="546" width="8.140625" style="19" customWidth="1"/>
    <col min="547" max="547" width="8.7109375" style="19" customWidth="1"/>
    <col min="548" max="768" width="11.42578125" style="19"/>
    <col min="769" max="769" width="3" style="19" customWidth="1"/>
    <col min="770" max="770" width="9.28515625" style="19" customWidth="1"/>
    <col min="771" max="771" width="3.7109375" style="19" customWidth="1"/>
    <col min="772" max="772" width="4.7109375" style="19" customWidth="1"/>
    <col min="773" max="773" width="1.7109375" style="19" customWidth="1"/>
    <col min="774" max="776" width="5.7109375" style="19" customWidth="1"/>
    <col min="777" max="777" width="3.7109375" style="19" customWidth="1"/>
    <col min="778" max="778" width="4.7109375" style="19" customWidth="1"/>
    <col min="779" max="779" width="5.7109375" style="19" customWidth="1"/>
    <col min="780" max="780" width="6.140625" style="19" customWidth="1"/>
    <col min="781" max="781" width="5.7109375" style="19" customWidth="1"/>
    <col min="782" max="782" width="0.85546875" style="19" customWidth="1"/>
    <col min="783" max="783" width="6.7109375" style="19" customWidth="1"/>
    <col min="784" max="784" width="5.7109375" style="19" customWidth="1"/>
    <col min="785" max="785" width="6.42578125" style="19" customWidth="1"/>
    <col min="786" max="787" width="5.7109375" style="19" customWidth="1"/>
    <col min="788" max="792" width="27.7109375" style="19" customWidth="1"/>
    <col min="793" max="793" width="16.85546875" style="19" customWidth="1"/>
    <col min="794" max="794" width="10.42578125" style="19" customWidth="1"/>
    <col min="795" max="795" width="11" style="19" customWidth="1"/>
    <col min="796" max="796" width="10.85546875" style="19" customWidth="1"/>
    <col min="797" max="797" width="17.5703125" style="19" customWidth="1"/>
    <col min="798" max="798" width="9.7109375" style="19" customWidth="1"/>
    <col min="799" max="799" width="17.28515625" style="19" customWidth="1"/>
    <col min="800" max="800" width="10.42578125" style="19" customWidth="1"/>
    <col min="801" max="801" width="10.7109375" style="19" customWidth="1"/>
    <col min="802" max="802" width="8.140625" style="19" customWidth="1"/>
    <col min="803" max="803" width="8.7109375" style="19" customWidth="1"/>
    <col min="804" max="1024" width="11.42578125" style="19"/>
    <col min="1025" max="1025" width="3" style="19" customWidth="1"/>
    <col min="1026" max="1026" width="9.28515625" style="19" customWidth="1"/>
    <col min="1027" max="1027" width="3.7109375" style="19" customWidth="1"/>
    <col min="1028" max="1028" width="4.7109375" style="19" customWidth="1"/>
    <col min="1029" max="1029" width="1.7109375" style="19" customWidth="1"/>
    <col min="1030" max="1032" width="5.7109375" style="19" customWidth="1"/>
    <col min="1033" max="1033" width="3.7109375" style="19" customWidth="1"/>
    <col min="1034" max="1034" width="4.7109375" style="19" customWidth="1"/>
    <col min="1035" max="1035" width="5.7109375" style="19" customWidth="1"/>
    <col min="1036" max="1036" width="6.140625" style="19" customWidth="1"/>
    <col min="1037" max="1037" width="5.7109375" style="19" customWidth="1"/>
    <col min="1038" max="1038" width="0.85546875" style="19" customWidth="1"/>
    <col min="1039" max="1039" width="6.7109375" style="19" customWidth="1"/>
    <col min="1040" max="1040" width="5.7109375" style="19" customWidth="1"/>
    <col min="1041" max="1041" width="6.42578125" style="19" customWidth="1"/>
    <col min="1042" max="1043" width="5.7109375" style="19" customWidth="1"/>
    <col min="1044" max="1048" width="27.7109375" style="19" customWidth="1"/>
    <col min="1049" max="1049" width="16.85546875" style="19" customWidth="1"/>
    <col min="1050" max="1050" width="10.42578125" style="19" customWidth="1"/>
    <col min="1051" max="1051" width="11" style="19" customWidth="1"/>
    <col min="1052" max="1052" width="10.85546875" style="19" customWidth="1"/>
    <col min="1053" max="1053" width="17.5703125" style="19" customWidth="1"/>
    <col min="1054" max="1054" width="9.7109375" style="19" customWidth="1"/>
    <col min="1055" max="1055" width="17.28515625" style="19" customWidth="1"/>
    <col min="1056" max="1056" width="10.42578125" style="19" customWidth="1"/>
    <col min="1057" max="1057" width="10.7109375" style="19" customWidth="1"/>
    <col min="1058" max="1058" width="8.140625" style="19" customWidth="1"/>
    <col min="1059" max="1059" width="8.7109375" style="19" customWidth="1"/>
    <col min="1060" max="1280" width="11.42578125" style="19"/>
    <col min="1281" max="1281" width="3" style="19" customWidth="1"/>
    <col min="1282" max="1282" width="9.28515625" style="19" customWidth="1"/>
    <col min="1283" max="1283" width="3.7109375" style="19" customWidth="1"/>
    <col min="1284" max="1284" width="4.7109375" style="19" customWidth="1"/>
    <col min="1285" max="1285" width="1.7109375" style="19" customWidth="1"/>
    <col min="1286" max="1288" width="5.7109375" style="19" customWidth="1"/>
    <col min="1289" max="1289" width="3.7109375" style="19" customWidth="1"/>
    <col min="1290" max="1290" width="4.7109375" style="19" customWidth="1"/>
    <col min="1291" max="1291" width="5.7109375" style="19" customWidth="1"/>
    <col min="1292" max="1292" width="6.140625" style="19" customWidth="1"/>
    <col min="1293" max="1293" width="5.7109375" style="19" customWidth="1"/>
    <col min="1294" max="1294" width="0.85546875" style="19" customWidth="1"/>
    <col min="1295" max="1295" width="6.7109375" style="19" customWidth="1"/>
    <col min="1296" max="1296" width="5.7109375" style="19" customWidth="1"/>
    <col min="1297" max="1297" width="6.42578125" style="19" customWidth="1"/>
    <col min="1298" max="1299" width="5.7109375" style="19" customWidth="1"/>
    <col min="1300" max="1304" width="27.7109375" style="19" customWidth="1"/>
    <col min="1305" max="1305" width="16.85546875" style="19" customWidth="1"/>
    <col min="1306" max="1306" width="10.42578125" style="19" customWidth="1"/>
    <col min="1307" max="1307" width="11" style="19" customWidth="1"/>
    <col min="1308" max="1308" width="10.85546875" style="19" customWidth="1"/>
    <col min="1309" max="1309" width="17.5703125" style="19" customWidth="1"/>
    <col min="1310" max="1310" width="9.7109375" style="19" customWidth="1"/>
    <col min="1311" max="1311" width="17.28515625" style="19" customWidth="1"/>
    <col min="1312" max="1312" width="10.42578125" style="19" customWidth="1"/>
    <col min="1313" max="1313" width="10.7109375" style="19" customWidth="1"/>
    <col min="1314" max="1314" width="8.140625" style="19" customWidth="1"/>
    <col min="1315" max="1315" width="8.7109375" style="19" customWidth="1"/>
    <col min="1316" max="1536" width="11.42578125" style="19"/>
    <col min="1537" max="1537" width="3" style="19" customWidth="1"/>
    <col min="1538" max="1538" width="9.28515625" style="19" customWidth="1"/>
    <col min="1539" max="1539" width="3.7109375" style="19" customWidth="1"/>
    <col min="1540" max="1540" width="4.7109375" style="19" customWidth="1"/>
    <col min="1541" max="1541" width="1.7109375" style="19" customWidth="1"/>
    <col min="1542" max="1544" width="5.7109375" style="19" customWidth="1"/>
    <col min="1545" max="1545" width="3.7109375" style="19" customWidth="1"/>
    <col min="1546" max="1546" width="4.7109375" style="19" customWidth="1"/>
    <col min="1547" max="1547" width="5.7109375" style="19" customWidth="1"/>
    <col min="1548" max="1548" width="6.140625" style="19" customWidth="1"/>
    <col min="1549" max="1549" width="5.7109375" style="19" customWidth="1"/>
    <col min="1550" max="1550" width="0.85546875" style="19" customWidth="1"/>
    <col min="1551" max="1551" width="6.7109375" style="19" customWidth="1"/>
    <col min="1552" max="1552" width="5.7109375" style="19" customWidth="1"/>
    <col min="1553" max="1553" width="6.42578125" style="19" customWidth="1"/>
    <col min="1554" max="1555" width="5.7109375" style="19" customWidth="1"/>
    <col min="1556" max="1560" width="27.7109375" style="19" customWidth="1"/>
    <col min="1561" max="1561" width="16.85546875" style="19" customWidth="1"/>
    <col min="1562" max="1562" width="10.42578125" style="19" customWidth="1"/>
    <col min="1563" max="1563" width="11" style="19" customWidth="1"/>
    <col min="1564" max="1564" width="10.85546875" style="19" customWidth="1"/>
    <col min="1565" max="1565" width="17.5703125" style="19" customWidth="1"/>
    <col min="1566" max="1566" width="9.7109375" style="19" customWidth="1"/>
    <col min="1567" max="1567" width="17.28515625" style="19" customWidth="1"/>
    <col min="1568" max="1568" width="10.42578125" style="19" customWidth="1"/>
    <col min="1569" max="1569" width="10.7109375" style="19" customWidth="1"/>
    <col min="1570" max="1570" width="8.140625" style="19" customWidth="1"/>
    <col min="1571" max="1571" width="8.7109375" style="19" customWidth="1"/>
    <col min="1572" max="1792" width="11.42578125" style="19"/>
    <col min="1793" max="1793" width="3" style="19" customWidth="1"/>
    <col min="1794" max="1794" width="9.28515625" style="19" customWidth="1"/>
    <col min="1795" max="1795" width="3.7109375" style="19" customWidth="1"/>
    <col min="1796" max="1796" width="4.7109375" style="19" customWidth="1"/>
    <col min="1797" max="1797" width="1.7109375" style="19" customWidth="1"/>
    <col min="1798" max="1800" width="5.7109375" style="19" customWidth="1"/>
    <col min="1801" max="1801" width="3.7109375" style="19" customWidth="1"/>
    <col min="1802" max="1802" width="4.7109375" style="19" customWidth="1"/>
    <col min="1803" max="1803" width="5.7109375" style="19" customWidth="1"/>
    <col min="1804" max="1804" width="6.140625" style="19" customWidth="1"/>
    <col min="1805" max="1805" width="5.7109375" style="19" customWidth="1"/>
    <col min="1806" max="1806" width="0.85546875" style="19" customWidth="1"/>
    <col min="1807" max="1807" width="6.7109375" style="19" customWidth="1"/>
    <col min="1808" max="1808" width="5.7109375" style="19" customWidth="1"/>
    <col min="1809" max="1809" width="6.42578125" style="19" customWidth="1"/>
    <col min="1810" max="1811" width="5.7109375" style="19" customWidth="1"/>
    <col min="1812" max="1816" width="27.7109375" style="19" customWidth="1"/>
    <col min="1817" max="1817" width="16.85546875" style="19" customWidth="1"/>
    <col min="1818" max="1818" width="10.42578125" style="19" customWidth="1"/>
    <col min="1819" max="1819" width="11" style="19" customWidth="1"/>
    <col min="1820" max="1820" width="10.85546875" style="19" customWidth="1"/>
    <col min="1821" max="1821" width="17.5703125" style="19" customWidth="1"/>
    <col min="1822" max="1822" width="9.7109375" style="19" customWidth="1"/>
    <col min="1823" max="1823" width="17.28515625" style="19" customWidth="1"/>
    <col min="1824" max="1824" width="10.42578125" style="19" customWidth="1"/>
    <col min="1825" max="1825" width="10.7109375" style="19" customWidth="1"/>
    <col min="1826" max="1826" width="8.140625" style="19" customWidth="1"/>
    <col min="1827" max="1827" width="8.7109375" style="19" customWidth="1"/>
    <col min="1828" max="2048" width="11.42578125" style="19"/>
    <col min="2049" max="2049" width="3" style="19" customWidth="1"/>
    <col min="2050" max="2050" width="9.28515625" style="19" customWidth="1"/>
    <col min="2051" max="2051" width="3.7109375" style="19" customWidth="1"/>
    <col min="2052" max="2052" width="4.7109375" style="19" customWidth="1"/>
    <col min="2053" max="2053" width="1.7109375" style="19" customWidth="1"/>
    <col min="2054" max="2056" width="5.7109375" style="19" customWidth="1"/>
    <col min="2057" max="2057" width="3.7109375" style="19" customWidth="1"/>
    <col min="2058" max="2058" width="4.7109375" style="19" customWidth="1"/>
    <col min="2059" max="2059" width="5.7109375" style="19" customWidth="1"/>
    <col min="2060" max="2060" width="6.140625" style="19" customWidth="1"/>
    <col min="2061" max="2061" width="5.7109375" style="19" customWidth="1"/>
    <col min="2062" max="2062" width="0.85546875" style="19" customWidth="1"/>
    <col min="2063" max="2063" width="6.7109375" style="19" customWidth="1"/>
    <col min="2064" max="2064" width="5.7109375" style="19" customWidth="1"/>
    <col min="2065" max="2065" width="6.42578125" style="19" customWidth="1"/>
    <col min="2066" max="2067" width="5.7109375" style="19" customWidth="1"/>
    <col min="2068" max="2072" width="27.7109375" style="19" customWidth="1"/>
    <col min="2073" max="2073" width="16.85546875" style="19" customWidth="1"/>
    <col min="2074" max="2074" width="10.42578125" style="19" customWidth="1"/>
    <col min="2075" max="2075" width="11" style="19" customWidth="1"/>
    <col min="2076" max="2076" width="10.85546875" style="19" customWidth="1"/>
    <col min="2077" max="2077" width="17.5703125" style="19" customWidth="1"/>
    <col min="2078" max="2078" width="9.7109375" style="19" customWidth="1"/>
    <col min="2079" max="2079" width="17.28515625" style="19" customWidth="1"/>
    <col min="2080" max="2080" width="10.42578125" style="19" customWidth="1"/>
    <col min="2081" max="2081" width="10.7109375" style="19" customWidth="1"/>
    <col min="2082" max="2082" width="8.140625" style="19" customWidth="1"/>
    <col min="2083" max="2083" width="8.7109375" style="19" customWidth="1"/>
    <col min="2084" max="2304" width="11.42578125" style="19"/>
    <col min="2305" max="2305" width="3" style="19" customWidth="1"/>
    <col min="2306" max="2306" width="9.28515625" style="19" customWidth="1"/>
    <col min="2307" max="2307" width="3.7109375" style="19" customWidth="1"/>
    <col min="2308" max="2308" width="4.7109375" style="19" customWidth="1"/>
    <col min="2309" max="2309" width="1.7109375" style="19" customWidth="1"/>
    <col min="2310" max="2312" width="5.7109375" style="19" customWidth="1"/>
    <col min="2313" max="2313" width="3.7109375" style="19" customWidth="1"/>
    <col min="2314" max="2314" width="4.7109375" style="19" customWidth="1"/>
    <col min="2315" max="2315" width="5.7109375" style="19" customWidth="1"/>
    <col min="2316" max="2316" width="6.140625" style="19" customWidth="1"/>
    <col min="2317" max="2317" width="5.7109375" style="19" customWidth="1"/>
    <col min="2318" max="2318" width="0.85546875" style="19" customWidth="1"/>
    <col min="2319" max="2319" width="6.7109375" style="19" customWidth="1"/>
    <col min="2320" max="2320" width="5.7109375" style="19" customWidth="1"/>
    <col min="2321" max="2321" width="6.42578125" style="19" customWidth="1"/>
    <col min="2322" max="2323" width="5.7109375" style="19" customWidth="1"/>
    <col min="2324" max="2328" width="27.7109375" style="19" customWidth="1"/>
    <col min="2329" max="2329" width="16.85546875" style="19" customWidth="1"/>
    <col min="2330" max="2330" width="10.42578125" style="19" customWidth="1"/>
    <col min="2331" max="2331" width="11" style="19" customWidth="1"/>
    <col min="2332" max="2332" width="10.85546875" style="19" customWidth="1"/>
    <col min="2333" max="2333" width="17.5703125" style="19" customWidth="1"/>
    <col min="2334" max="2334" width="9.7109375" style="19" customWidth="1"/>
    <col min="2335" max="2335" width="17.28515625" style="19" customWidth="1"/>
    <col min="2336" max="2336" width="10.42578125" style="19" customWidth="1"/>
    <col min="2337" max="2337" width="10.7109375" style="19" customWidth="1"/>
    <col min="2338" max="2338" width="8.140625" style="19" customWidth="1"/>
    <col min="2339" max="2339" width="8.7109375" style="19" customWidth="1"/>
    <col min="2340" max="2560" width="11.42578125" style="19"/>
    <col min="2561" max="2561" width="3" style="19" customWidth="1"/>
    <col min="2562" max="2562" width="9.28515625" style="19" customWidth="1"/>
    <col min="2563" max="2563" width="3.7109375" style="19" customWidth="1"/>
    <col min="2564" max="2564" width="4.7109375" style="19" customWidth="1"/>
    <col min="2565" max="2565" width="1.7109375" style="19" customWidth="1"/>
    <col min="2566" max="2568" width="5.7109375" style="19" customWidth="1"/>
    <col min="2569" max="2569" width="3.7109375" style="19" customWidth="1"/>
    <col min="2570" max="2570" width="4.7109375" style="19" customWidth="1"/>
    <col min="2571" max="2571" width="5.7109375" style="19" customWidth="1"/>
    <col min="2572" max="2572" width="6.140625" style="19" customWidth="1"/>
    <col min="2573" max="2573" width="5.7109375" style="19" customWidth="1"/>
    <col min="2574" max="2574" width="0.85546875" style="19" customWidth="1"/>
    <col min="2575" max="2575" width="6.7109375" style="19" customWidth="1"/>
    <col min="2576" max="2576" width="5.7109375" style="19" customWidth="1"/>
    <col min="2577" max="2577" width="6.42578125" style="19" customWidth="1"/>
    <col min="2578" max="2579" width="5.7109375" style="19" customWidth="1"/>
    <col min="2580" max="2584" width="27.7109375" style="19" customWidth="1"/>
    <col min="2585" max="2585" width="16.85546875" style="19" customWidth="1"/>
    <col min="2586" max="2586" width="10.42578125" style="19" customWidth="1"/>
    <col min="2587" max="2587" width="11" style="19" customWidth="1"/>
    <col min="2588" max="2588" width="10.85546875" style="19" customWidth="1"/>
    <col min="2589" max="2589" width="17.5703125" style="19" customWidth="1"/>
    <col min="2590" max="2590" width="9.7109375" style="19" customWidth="1"/>
    <col min="2591" max="2591" width="17.28515625" style="19" customWidth="1"/>
    <col min="2592" max="2592" width="10.42578125" style="19" customWidth="1"/>
    <col min="2593" max="2593" width="10.7109375" style="19" customWidth="1"/>
    <col min="2594" max="2594" width="8.140625" style="19" customWidth="1"/>
    <col min="2595" max="2595" width="8.7109375" style="19" customWidth="1"/>
    <col min="2596" max="2816" width="11.42578125" style="19"/>
    <col min="2817" max="2817" width="3" style="19" customWidth="1"/>
    <col min="2818" max="2818" width="9.28515625" style="19" customWidth="1"/>
    <col min="2819" max="2819" width="3.7109375" style="19" customWidth="1"/>
    <col min="2820" max="2820" width="4.7109375" style="19" customWidth="1"/>
    <col min="2821" max="2821" width="1.7109375" style="19" customWidth="1"/>
    <col min="2822" max="2824" width="5.7109375" style="19" customWidth="1"/>
    <col min="2825" max="2825" width="3.7109375" style="19" customWidth="1"/>
    <col min="2826" max="2826" width="4.7109375" style="19" customWidth="1"/>
    <col min="2827" max="2827" width="5.7109375" style="19" customWidth="1"/>
    <col min="2828" max="2828" width="6.140625" style="19" customWidth="1"/>
    <col min="2829" max="2829" width="5.7109375" style="19" customWidth="1"/>
    <col min="2830" max="2830" width="0.85546875" style="19" customWidth="1"/>
    <col min="2831" max="2831" width="6.7109375" style="19" customWidth="1"/>
    <col min="2832" max="2832" width="5.7109375" style="19" customWidth="1"/>
    <col min="2833" max="2833" width="6.42578125" style="19" customWidth="1"/>
    <col min="2834" max="2835" width="5.7109375" style="19" customWidth="1"/>
    <col min="2836" max="2840" width="27.7109375" style="19" customWidth="1"/>
    <col min="2841" max="2841" width="16.85546875" style="19" customWidth="1"/>
    <col min="2842" max="2842" width="10.42578125" style="19" customWidth="1"/>
    <col min="2843" max="2843" width="11" style="19" customWidth="1"/>
    <col min="2844" max="2844" width="10.85546875" style="19" customWidth="1"/>
    <col min="2845" max="2845" width="17.5703125" style="19" customWidth="1"/>
    <col min="2846" max="2846" width="9.7109375" style="19" customWidth="1"/>
    <col min="2847" max="2847" width="17.28515625" style="19" customWidth="1"/>
    <col min="2848" max="2848" width="10.42578125" style="19" customWidth="1"/>
    <col min="2849" max="2849" width="10.7109375" style="19" customWidth="1"/>
    <col min="2850" max="2850" width="8.140625" style="19" customWidth="1"/>
    <col min="2851" max="2851" width="8.7109375" style="19" customWidth="1"/>
    <col min="2852" max="3072" width="11.42578125" style="19"/>
    <col min="3073" max="3073" width="3" style="19" customWidth="1"/>
    <col min="3074" max="3074" width="9.28515625" style="19" customWidth="1"/>
    <col min="3075" max="3075" width="3.7109375" style="19" customWidth="1"/>
    <col min="3076" max="3076" width="4.7109375" style="19" customWidth="1"/>
    <col min="3077" max="3077" width="1.7109375" style="19" customWidth="1"/>
    <col min="3078" max="3080" width="5.7109375" style="19" customWidth="1"/>
    <col min="3081" max="3081" width="3.7109375" style="19" customWidth="1"/>
    <col min="3082" max="3082" width="4.7109375" style="19" customWidth="1"/>
    <col min="3083" max="3083" width="5.7109375" style="19" customWidth="1"/>
    <col min="3084" max="3084" width="6.140625" style="19" customWidth="1"/>
    <col min="3085" max="3085" width="5.7109375" style="19" customWidth="1"/>
    <col min="3086" max="3086" width="0.85546875" style="19" customWidth="1"/>
    <col min="3087" max="3087" width="6.7109375" style="19" customWidth="1"/>
    <col min="3088" max="3088" width="5.7109375" style="19" customWidth="1"/>
    <col min="3089" max="3089" width="6.42578125" style="19" customWidth="1"/>
    <col min="3090" max="3091" width="5.7109375" style="19" customWidth="1"/>
    <col min="3092" max="3096" width="27.7109375" style="19" customWidth="1"/>
    <col min="3097" max="3097" width="16.85546875" style="19" customWidth="1"/>
    <col min="3098" max="3098" width="10.42578125" style="19" customWidth="1"/>
    <col min="3099" max="3099" width="11" style="19" customWidth="1"/>
    <col min="3100" max="3100" width="10.85546875" style="19" customWidth="1"/>
    <col min="3101" max="3101" width="17.5703125" style="19" customWidth="1"/>
    <col min="3102" max="3102" width="9.7109375" style="19" customWidth="1"/>
    <col min="3103" max="3103" width="17.28515625" style="19" customWidth="1"/>
    <col min="3104" max="3104" width="10.42578125" style="19" customWidth="1"/>
    <col min="3105" max="3105" width="10.7109375" style="19" customWidth="1"/>
    <col min="3106" max="3106" width="8.140625" style="19" customWidth="1"/>
    <col min="3107" max="3107" width="8.7109375" style="19" customWidth="1"/>
    <col min="3108" max="3328" width="11.42578125" style="19"/>
    <col min="3329" max="3329" width="3" style="19" customWidth="1"/>
    <col min="3330" max="3330" width="9.28515625" style="19" customWidth="1"/>
    <col min="3331" max="3331" width="3.7109375" style="19" customWidth="1"/>
    <col min="3332" max="3332" width="4.7109375" style="19" customWidth="1"/>
    <col min="3333" max="3333" width="1.7109375" style="19" customWidth="1"/>
    <col min="3334" max="3336" width="5.7109375" style="19" customWidth="1"/>
    <col min="3337" max="3337" width="3.7109375" style="19" customWidth="1"/>
    <col min="3338" max="3338" width="4.7109375" style="19" customWidth="1"/>
    <col min="3339" max="3339" width="5.7109375" style="19" customWidth="1"/>
    <col min="3340" max="3340" width="6.140625" style="19" customWidth="1"/>
    <col min="3341" max="3341" width="5.7109375" style="19" customWidth="1"/>
    <col min="3342" max="3342" width="0.85546875" style="19" customWidth="1"/>
    <col min="3343" max="3343" width="6.7109375" style="19" customWidth="1"/>
    <col min="3344" max="3344" width="5.7109375" style="19" customWidth="1"/>
    <col min="3345" max="3345" width="6.42578125" style="19" customWidth="1"/>
    <col min="3346" max="3347" width="5.7109375" style="19" customWidth="1"/>
    <col min="3348" max="3352" width="27.7109375" style="19" customWidth="1"/>
    <col min="3353" max="3353" width="16.85546875" style="19" customWidth="1"/>
    <col min="3354" max="3354" width="10.42578125" style="19" customWidth="1"/>
    <col min="3355" max="3355" width="11" style="19" customWidth="1"/>
    <col min="3356" max="3356" width="10.85546875" style="19" customWidth="1"/>
    <col min="3357" max="3357" width="17.5703125" style="19" customWidth="1"/>
    <col min="3358" max="3358" width="9.7109375" style="19" customWidth="1"/>
    <col min="3359" max="3359" width="17.28515625" style="19" customWidth="1"/>
    <col min="3360" max="3360" width="10.42578125" style="19" customWidth="1"/>
    <col min="3361" max="3361" width="10.7109375" style="19" customWidth="1"/>
    <col min="3362" max="3362" width="8.140625" style="19" customWidth="1"/>
    <col min="3363" max="3363" width="8.7109375" style="19" customWidth="1"/>
    <col min="3364" max="3584" width="11.42578125" style="19"/>
    <col min="3585" max="3585" width="3" style="19" customWidth="1"/>
    <col min="3586" max="3586" width="9.28515625" style="19" customWidth="1"/>
    <col min="3587" max="3587" width="3.7109375" style="19" customWidth="1"/>
    <col min="3588" max="3588" width="4.7109375" style="19" customWidth="1"/>
    <col min="3589" max="3589" width="1.7109375" style="19" customWidth="1"/>
    <col min="3590" max="3592" width="5.7109375" style="19" customWidth="1"/>
    <col min="3593" max="3593" width="3.7109375" style="19" customWidth="1"/>
    <col min="3594" max="3594" width="4.7109375" style="19" customWidth="1"/>
    <col min="3595" max="3595" width="5.7109375" style="19" customWidth="1"/>
    <col min="3596" max="3596" width="6.140625" style="19" customWidth="1"/>
    <col min="3597" max="3597" width="5.7109375" style="19" customWidth="1"/>
    <col min="3598" max="3598" width="0.85546875" style="19" customWidth="1"/>
    <col min="3599" max="3599" width="6.7109375" style="19" customWidth="1"/>
    <col min="3600" max="3600" width="5.7109375" style="19" customWidth="1"/>
    <col min="3601" max="3601" width="6.42578125" style="19" customWidth="1"/>
    <col min="3602" max="3603" width="5.7109375" style="19" customWidth="1"/>
    <col min="3604" max="3608" width="27.7109375" style="19" customWidth="1"/>
    <col min="3609" max="3609" width="16.85546875" style="19" customWidth="1"/>
    <col min="3610" max="3610" width="10.42578125" style="19" customWidth="1"/>
    <col min="3611" max="3611" width="11" style="19" customWidth="1"/>
    <col min="3612" max="3612" width="10.85546875" style="19" customWidth="1"/>
    <col min="3613" max="3613" width="17.5703125" style="19" customWidth="1"/>
    <col min="3614" max="3614" width="9.7109375" style="19" customWidth="1"/>
    <col min="3615" max="3615" width="17.28515625" style="19" customWidth="1"/>
    <col min="3616" max="3616" width="10.42578125" style="19" customWidth="1"/>
    <col min="3617" max="3617" width="10.7109375" style="19" customWidth="1"/>
    <col min="3618" max="3618" width="8.140625" style="19" customWidth="1"/>
    <col min="3619" max="3619" width="8.7109375" style="19" customWidth="1"/>
    <col min="3620" max="3840" width="11.42578125" style="19"/>
    <col min="3841" max="3841" width="3" style="19" customWidth="1"/>
    <col min="3842" max="3842" width="9.28515625" style="19" customWidth="1"/>
    <col min="3843" max="3843" width="3.7109375" style="19" customWidth="1"/>
    <col min="3844" max="3844" width="4.7109375" style="19" customWidth="1"/>
    <col min="3845" max="3845" width="1.7109375" style="19" customWidth="1"/>
    <col min="3846" max="3848" width="5.7109375" style="19" customWidth="1"/>
    <col min="3849" max="3849" width="3.7109375" style="19" customWidth="1"/>
    <col min="3850" max="3850" width="4.7109375" style="19" customWidth="1"/>
    <col min="3851" max="3851" width="5.7109375" style="19" customWidth="1"/>
    <col min="3852" max="3852" width="6.140625" style="19" customWidth="1"/>
    <col min="3853" max="3853" width="5.7109375" style="19" customWidth="1"/>
    <col min="3854" max="3854" width="0.85546875" style="19" customWidth="1"/>
    <col min="3855" max="3855" width="6.7109375" style="19" customWidth="1"/>
    <col min="3856" max="3856" width="5.7109375" style="19" customWidth="1"/>
    <col min="3857" max="3857" width="6.42578125" style="19" customWidth="1"/>
    <col min="3858" max="3859" width="5.7109375" style="19" customWidth="1"/>
    <col min="3860" max="3864" width="27.7109375" style="19" customWidth="1"/>
    <col min="3865" max="3865" width="16.85546875" style="19" customWidth="1"/>
    <col min="3866" max="3866" width="10.42578125" style="19" customWidth="1"/>
    <col min="3867" max="3867" width="11" style="19" customWidth="1"/>
    <col min="3868" max="3868" width="10.85546875" style="19" customWidth="1"/>
    <col min="3869" max="3869" width="17.5703125" style="19" customWidth="1"/>
    <col min="3870" max="3870" width="9.7109375" style="19" customWidth="1"/>
    <col min="3871" max="3871" width="17.28515625" style="19" customWidth="1"/>
    <col min="3872" max="3872" width="10.42578125" style="19" customWidth="1"/>
    <col min="3873" max="3873" width="10.7109375" style="19" customWidth="1"/>
    <col min="3874" max="3874" width="8.140625" style="19" customWidth="1"/>
    <col min="3875" max="3875" width="8.7109375" style="19" customWidth="1"/>
    <col min="3876" max="4096" width="11.42578125" style="19"/>
    <col min="4097" max="4097" width="3" style="19" customWidth="1"/>
    <col min="4098" max="4098" width="9.28515625" style="19" customWidth="1"/>
    <col min="4099" max="4099" width="3.7109375" style="19" customWidth="1"/>
    <col min="4100" max="4100" width="4.7109375" style="19" customWidth="1"/>
    <col min="4101" max="4101" width="1.7109375" style="19" customWidth="1"/>
    <col min="4102" max="4104" width="5.7109375" style="19" customWidth="1"/>
    <col min="4105" max="4105" width="3.7109375" style="19" customWidth="1"/>
    <col min="4106" max="4106" width="4.7109375" style="19" customWidth="1"/>
    <col min="4107" max="4107" width="5.7109375" style="19" customWidth="1"/>
    <col min="4108" max="4108" width="6.140625" style="19" customWidth="1"/>
    <col min="4109" max="4109" width="5.7109375" style="19" customWidth="1"/>
    <col min="4110" max="4110" width="0.85546875" style="19" customWidth="1"/>
    <col min="4111" max="4111" width="6.7109375" style="19" customWidth="1"/>
    <col min="4112" max="4112" width="5.7109375" style="19" customWidth="1"/>
    <col min="4113" max="4113" width="6.42578125" style="19" customWidth="1"/>
    <col min="4114" max="4115" width="5.7109375" style="19" customWidth="1"/>
    <col min="4116" max="4120" width="27.7109375" style="19" customWidth="1"/>
    <col min="4121" max="4121" width="16.85546875" style="19" customWidth="1"/>
    <col min="4122" max="4122" width="10.42578125" style="19" customWidth="1"/>
    <col min="4123" max="4123" width="11" style="19" customWidth="1"/>
    <col min="4124" max="4124" width="10.85546875" style="19" customWidth="1"/>
    <col min="4125" max="4125" width="17.5703125" style="19" customWidth="1"/>
    <col min="4126" max="4126" width="9.7109375" style="19" customWidth="1"/>
    <col min="4127" max="4127" width="17.28515625" style="19" customWidth="1"/>
    <col min="4128" max="4128" width="10.42578125" style="19" customWidth="1"/>
    <col min="4129" max="4129" width="10.7109375" style="19" customWidth="1"/>
    <col min="4130" max="4130" width="8.140625" style="19" customWidth="1"/>
    <col min="4131" max="4131" width="8.7109375" style="19" customWidth="1"/>
    <col min="4132" max="4352" width="11.42578125" style="19"/>
    <col min="4353" max="4353" width="3" style="19" customWidth="1"/>
    <col min="4354" max="4354" width="9.28515625" style="19" customWidth="1"/>
    <col min="4355" max="4355" width="3.7109375" style="19" customWidth="1"/>
    <col min="4356" max="4356" width="4.7109375" style="19" customWidth="1"/>
    <col min="4357" max="4357" width="1.7109375" style="19" customWidth="1"/>
    <col min="4358" max="4360" width="5.7109375" style="19" customWidth="1"/>
    <col min="4361" max="4361" width="3.7109375" style="19" customWidth="1"/>
    <col min="4362" max="4362" width="4.7109375" style="19" customWidth="1"/>
    <col min="4363" max="4363" width="5.7109375" style="19" customWidth="1"/>
    <col min="4364" max="4364" width="6.140625" style="19" customWidth="1"/>
    <col min="4365" max="4365" width="5.7109375" style="19" customWidth="1"/>
    <col min="4366" max="4366" width="0.85546875" style="19" customWidth="1"/>
    <col min="4367" max="4367" width="6.7109375" style="19" customWidth="1"/>
    <col min="4368" max="4368" width="5.7109375" style="19" customWidth="1"/>
    <col min="4369" max="4369" width="6.42578125" style="19" customWidth="1"/>
    <col min="4370" max="4371" width="5.7109375" style="19" customWidth="1"/>
    <col min="4372" max="4376" width="27.7109375" style="19" customWidth="1"/>
    <col min="4377" max="4377" width="16.85546875" style="19" customWidth="1"/>
    <col min="4378" max="4378" width="10.42578125" style="19" customWidth="1"/>
    <col min="4379" max="4379" width="11" style="19" customWidth="1"/>
    <col min="4380" max="4380" width="10.85546875" style="19" customWidth="1"/>
    <col min="4381" max="4381" width="17.5703125" style="19" customWidth="1"/>
    <col min="4382" max="4382" width="9.7109375" style="19" customWidth="1"/>
    <col min="4383" max="4383" width="17.28515625" style="19" customWidth="1"/>
    <col min="4384" max="4384" width="10.42578125" style="19" customWidth="1"/>
    <col min="4385" max="4385" width="10.7109375" style="19" customWidth="1"/>
    <col min="4386" max="4386" width="8.140625" style="19" customWidth="1"/>
    <col min="4387" max="4387" width="8.7109375" style="19" customWidth="1"/>
    <col min="4388" max="4608" width="11.42578125" style="19"/>
    <col min="4609" max="4609" width="3" style="19" customWidth="1"/>
    <col min="4610" max="4610" width="9.28515625" style="19" customWidth="1"/>
    <col min="4611" max="4611" width="3.7109375" style="19" customWidth="1"/>
    <col min="4612" max="4612" width="4.7109375" style="19" customWidth="1"/>
    <col min="4613" max="4613" width="1.7109375" style="19" customWidth="1"/>
    <col min="4614" max="4616" width="5.7109375" style="19" customWidth="1"/>
    <col min="4617" max="4617" width="3.7109375" style="19" customWidth="1"/>
    <col min="4618" max="4618" width="4.7109375" style="19" customWidth="1"/>
    <col min="4619" max="4619" width="5.7109375" style="19" customWidth="1"/>
    <col min="4620" max="4620" width="6.140625" style="19" customWidth="1"/>
    <col min="4621" max="4621" width="5.7109375" style="19" customWidth="1"/>
    <col min="4622" max="4622" width="0.85546875" style="19" customWidth="1"/>
    <col min="4623" max="4623" width="6.7109375" style="19" customWidth="1"/>
    <col min="4624" max="4624" width="5.7109375" style="19" customWidth="1"/>
    <col min="4625" max="4625" width="6.42578125" style="19" customWidth="1"/>
    <col min="4626" max="4627" width="5.7109375" style="19" customWidth="1"/>
    <col min="4628" max="4632" width="27.7109375" style="19" customWidth="1"/>
    <col min="4633" max="4633" width="16.85546875" style="19" customWidth="1"/>
    <col min="4634" max="4634" width="10.42578125" style="19" customWidth="1"/>
    <col min="4635" max="4635" width="11" style="19" customWidth="1"/>
    <col min="4636" max="4636" width="10.85546875" style="19" customWidth="1"/>
    <col min="4637" max="4637" width="17.5703125" style="19" customWidth="1"/>
    <col min="4638" max="4638" width="9.7109375" style="19" customWidth="1"/>
    <col min="4639" max="4639" width="17.28515625" style="19" customWidth="1"/>
    <col min="4640" max="4640" width="10.42578125" style="19" customWidth="1"/>
    <col min="4641" max="4641" width="10.7109375" style="19" customWidth="1"/>
    <col min="4642" max="4642" width="8.140625" style="19" customWidth="1"/>
    <col min="4643" max="4643" width="8.7109375" style="19" customWidth="1"/>
    <col min="4644" max="4864" width="11.42578125" style="19"/>
    <col min="4865" max="4865" width="3" style="19" customWidth="1"/>
    <col min="4866" max="4866" width="9.28515625" style="19" customWidth="1"/>
    <col min="4867" max="4867" width="3.7109375" style="19" customWidth="1"/>
    <col min="4868" max="4868" width="4.7109375" style="19" customWidth="1"/>
    <col min="4869" max="4869" width="1.7109375" style="19" customWidth="1"/>
    <col min="4870" max="4872" width="5.7109375" style="19" customWidth="1"/>
    <col min="4873" max="4873" width="3.7109375" style="19" customWidth="1"/>
    <col min="4874" max="4874" width="4.7109375" style="19" customWidth="1"/>
    <col min="4875" max="4875" width="5.7109375" style="19" customWidth="1"/>
    <col min="4876" max="4876" width="6.140625" style="19" customWidth="1"/>
    <col min="4877" max="4877" width="5.7109375" style="19" customWidth="1"/>
    <col min="4878" max="4878" width="0.85546875" style="19" customWidth="1"/>
    <col min="4879" max="4879" width="6.7109375" style="19" customWidth="1"/>
    <col min="4880" max="4880" width="5.7109375" style="19" customWidth="1"/>
    <col min="4881" max="4881" width="6.42578125" style="19" customWidth="1"/>
    <col min="4882" max="4883" width="5.7109375" style="19" customWidth="1"/>
    <col min="4884" max="4888" width="27.7109375" style="19" customWidth="1"/>
    <col min="4889" max="4889" width="16.85546875" style="19" customWidth="1"/>
    <col min="4890" max="4890" width="10.42578125" style="19" customWidth="1"/>
    <col min="4891" max="4891" width="11" style="19" customWidth="1"/>
    <col min="4892" max="4892" width="10.85546875" style="19" customWidth="1"/>
    <col min="4893" max="4893" width="17.5703125" style="19" customWidth="1"/>
    <col min="4894" max="4894" width="9.7109375" style="19" customWidth="1"/>
    <col min="4895" max="4895" width="17.28515625" style="19" customWidth="1"/>
    <col min="4896" max="4896" width="10.42578125" style="19" customWidth="1"/>
    <col min="4897" max="4897" width="10.7109375" style="19" customWidth="1"/>
    <col min="4898" max="4898" width="8.140625" style="19" customWidth="1"/>
    <col min="4899" max="4899" width="8.7109375" style="19" customWidth="1"/>
    <col min="4900" max="5120" width="11.42578125" style="19"/>
    <col min="5121" max="5121" width="3" style="19" customWidth="1"/>
    <col min="5122" max="5122" width="9.28515625" style="19" customWidth="1"/>
    <col min="5123" max="5123" width="3.7109375" style="19" customWidth="1"/>
    <col min="5124" max="5124" width="4.7109375" style="19" customWidth="1"/>
    <col min="5125" max="5125" width="1.7109375" style="19" customWidth="1"/>
    <col min="5126" max="5128" width="5.7109375" style="19" customWidth="1"/>
    <col min="5129" max="5129" width="3.7109375" style="19" customWidth="1"/>
    <col min="5130" max="5130" width="4.7109375" style="19" customWidth="1"/>
    <col min="5131" max="5131" width="5.7109375" style="19" customWidth="1"/>
    <col min="5132" max="5132" width="6.140625" style="19" customWidth="1"/>
    <col min="5133" max="5133" width="5.7109375" style="19" customWidth="1"/>
    <col min="5134" max="5134" width="0.85546875" style="19" customWidth="1"/>
    <col min="5135" max="5135" width="6.7109375" style="19" customWidth="1"/>
    <col min="5136" max="5136" width="5.7109375" style="19" customWidth="1"/>
    <col min="5137" max="5137" width="6.42578125" style="19" customWidth="1"/>
    <col min="5138" max="5139" width="5.7109375" style="19" customWidth="1"/>
    <col min="5140" max="5144" width="27.7109375" style="19" customWidth="1"/>
    <col min="5145" max="5145" width="16.85546875" style="19" customWidth="1"/>
    <col min="5146" max="5146" width="10.42578125" style="19" customWidth="1"/>
    <col min="5147" max="5147" width="11" style="19" customWidth="1"/>
    <col min="5148" max="5148" width="10.85546875" style="19" customWidth="1"/>
    <col min="5149" max="5149" width="17.5703125" style="19" customWidth="1"/>
    <col min="5150" max="5150" width="9.7109375" style="19" customWidth="1"/>
    <col min="5151" max="5151" width="17.28515625" style="19" customWidth="1"/>
    <col min="5152" max="5152" width="10.42578125" style="19" customWidth="1"/>
    <col min="5153" max="5153" width="10.7109375" style="19" customWidth="1"/>
    <col min="5154" max="5154" width="8.140625" style="19" customWidth="1"/>
    <col min="5155" max="5155" width="8.7109375" style="19" customWidth="1"/>
    <col min="5156" max="5376" width="11.42578125" style="19"/>
    <col min="5377" max="5377" width="3" style="19" customWidth="1"/>
    <col min="5378" max="5378" width="9.28515625" style="19" customWidth="1"/>
    <col min="5379" max="5379" width="3.7109375" style="19" customWidth="1"/>
    <col min="5380" max="5380" width="4.7109375" style="19" customWidth="1"/>
    <col min="5381" max="5381" width="1.7109375" style="19" customWidth="1"/>
    <col min="5382" max="5384" width="5.7109375" style="19" customWidth="1"/>
    <col min="5385" max="5385" width="3.7109375" style="19" customWidth="1"/>
    <col min="5386" max="5386" width="4.7109375" style="19" customWidth="1"/>
    <col min="5387" max="5387" width="5.7109375" style="19" customWidth="1"/>
    <col min="5388" max="5388" width="6.140625" style="19" customWidth="1"/>
    <col min="5389" max="5389" width="5.7109375" style="19" customWidth="1"/>
    <col min="5390" max="5390" width="0.85546875" style="19" customWidth="1"/>
    <col min="5391" max="5391" width="6.7109375" style="19" customWidth="1"/>
    <col min="5392" max="5392" width="5.7109375" style="19" customWidth="1"/>
    <col min="5393" max="5393" width="6.42578125" style="19" customWidth="1"/>
    <col min="5394" max="5395" width="5.7109375" style="19" customWidth="1"/>
    <col min="5396" max="5400" width="27.7109375" style="19" customWidth="1"/>
    <col min="5401" max="5401" width="16.85546875" style="19" customWidth="1"/>
    <col min="5402" max="5402" width="10.42578125" style="19" customWidth="1"/>
    <col min="5403" max="5403" width="11" style="19" customWidth="1"/>
    <col min="5404" max="5404" width="10.85546875" style="19" customWidth="1"/>
    <col min="5405" max="5405" width="17.5703125" style="19" customWidth="1"/>
    <col min="5406" max="5406" width="9.7109375" style="19" customWidth="1"/>
    <col min="5407" max="5407" width="17.28515625" style="19" customWidth="1"/>
    <col min="5408" max="5408" width="10.42578125" style="19" customWidth="1"/>
    <col min="5409" max="5409" width="10.7109375" style="19" customWidth="1"/>
    <col min="5410" max="5410" width="8.140625" style="19" customWidth="1"/>
    <col min="5411" max="5411" width="8.7109375" style="19" customWidth="1"/>
    <col min="5412" max="5632" width="11.42578125" style="19"/>
    <col min="5633" max="5633" width="3" style="19" customWidth="1"/>
    <col min="5634" max="5634" width="9.28515625" style="19" customWidth="1"/>
    <col min="5635" max="5635" width="3.7109375" style="19" customWidth="1"/>
    <col min="5636" max="5636" width="4.7109375" style="19" customWidth="1"/>
    <col min="5637" max="5637" width="1.7109375" style="19" customWidth="1"/>
    <col min="5638" max="5640" width="5.7109375" style="19" customWidth="1"/>
    <col min="5641" max="5641" width="3.7109375" style="19" customWidth="1"/>
    <col min="5642" max="5642" width="4.7109375" style="19" customWidth="1"/>
    <col min="5643" max="5643" width="5.7109375" style="19" customWidth="1"/>
    <col min="5644" max="5644" width="6.140625" style="19" customWidth="1"/>
    <col min="5645" max="5645" width="5.7109375" style="19" customWidth="1"/>
    <col min="5646" max="5646" width="0.85546875" style="19" customWidth="1"/>
    <col min="5647" max="5647" width="6.7109375" style="19" customWidth="1"/>
    <col min="5648" max="5648" width="5.7109375" style="19" customWidth="1"/>
    <col min="5649" max="5649" width="6.42578125" style="19" customWidth="1"/>
    <col min="5650" max="5651" width="5.7109375" style="19" customWidth="1"/>
    <col min="5652" max="5656" width="27.7109375" style="19" customWidth="1"/>
    <col min="5657" max="5657" width="16.85546875" style="19" customWidth="1"/>
    <col min="5658" max="5658" width="10.42578125" style="19" customWidth="1"/>
    <col min="5659" max="5659" width="11" style="19" customWidth="1"/>
    <col min="5660" max="5660" width="10.85546875" style="19" customWidth="1"/>
    <col min="5661" max="5661" width="17.5703125" style="19" customWidth="1"/>
    <col min="5662" max="5662" width="9.7109375" style="19" customWidth="1"/>
    <col min="5663" max="5663" width="17.28515625" style="19" customWidth="1"/>
    <col min="5664" max="5664" width="10.42578125" style="19" customWidth="1"/>
    <col min="5665" max="5665" width="10.7109375" style="19" customWidth="1"/>
    <col min="5666" max="5666" width="8.140625" style="19" customWidth="1"/>
    <col min="5667" max="5667" width="8.7109375" style="19" customWidth="1"/>
    <col min="5668" max="5888" width="11.42578125" style="19"/>
    <col min="5889" max="5889" width="3" style="19" customWidth="1"/>
    <col min="5890" max="5890" width="9.28515625" style="19" customWidth="1"/>
    <col min="5891" max="5891" width="3.7109375" style="19" customWidth="1"/>
    <col min="5892" max="5892" width="4.7109375" style="19" customWidth="1"/>
    <col min="5893" max="5893" width="1.7109375" style="19" customWidth="1"/>
    <col min="5894" max="5896" width="5.7109375" style="19" customWidth="1"/>
    <col min="5897" max="5897" width="3.7109375" style="19" customWidth="1"/>
    <col min="5898" max="5898" width="4.7109375" style="19" customWidth="1"/>
    <col min="5899" max="5899" width="5.7109375" style="19" customWidth="1"/>
    <col min="5900" max="5900" width="6.140625" style="19" customWidth="1"/>
    <col min="5901" max="5901" width="5.7109375" style="19" customWidth="1"/>
    <col min="5902" max="5902" width="0.85546875" style="19" customWidth="1"/>
    <col min="5903" max="5903" width="6.7109375" style="19" customWidth="1"/>
    <col min="5904" max="5904" width="5.7109375" style="19" customWidth="1"/>
    <col min="5905" max="5905" width="6.42578125" style="19" customWidth="1"/>
    <col min="5906" max="5907" width="5.7109375" style="19" customWidth="1"/>
    <col min="5908" max="5912" width="27.7109375" style="19" customWidth="1"/>
    <col min="5913" max="5913" width="16.85546875" style="19" customWidth="1"/>
    <col min="5914" max="5914" width="10.42578125" style="19" customWidth="1"/>
    <col min="5915" max="5915" width="11" style="19" customWidth="1"/>
    <col min="5916" max="5916" width="10.85546875" style="19" customWidth="1"/>
    <col min="5917" max="5917" width="17.5703125" style="19" customWidth="1"/>
    <col min="5918" max="5918" width="9.7109375" style="19" customWidth="1"/>
    <col min="5919" max="5919" width="17.28515625" style="19" customWidth="1"/>
    <col min="5920" max="5920" width="10.42578125" style="19" customWidth="1"/>
    <col min="5921" max="5921" width="10.7109375" style="19" customWidth="1"/>
    <col min="5922" max="5922" width="8.140625" style="19" customWidth="1"/>
    <col min="5923" max="5923" width="8.7109375" style="19" customWidth="1"/>
    <col min="5924" max="6144" width="11.42578125" style="19"/>
    <col min="6145" max="6145" width="3" style="19" customWidth="1"/>
    <col min="6146" max="6146" width="9.28515625" style="19" customWidth="1"/>
    <col min="6147" max="6147" width="3.7109375" style="19" customWidth="1"/>
    <col min="6148" max="6148" width="4.7109375" style="19" customWidth="1"/>
    <col min="6149" max="6149" width="1.7109375" style="19" customWidth="1"/>
    <col min="6150" max="6152" width="5.7109375" style="19" customWidth="1"/>
    <col min="6153" max="6153" width="3.7109375" style="19" customWidth="1"/>
    <col min="6154" max="6154" width="4.7109375" style="19" customWidth="1"/>
    <col min="6155" max="6155" width="5.7109375" style="19" customWidth="1"/>
    <col min="6156" max="6156" width="6.140625" style="19" customWidth="1"/>
    <col min="6157" max="6157" width="5.7109375" style="19" customWidth="1"/>
    <col min="6158" max="6158" width="0.85546875" style="19" customWidth="1"/>
    <col min="6159" max="6159" width="6.7109375" style="19" customWidth="1"/>
    <col min="6160" max="6160" width="5.7109375" style="19" customWidth="1"/>
    <col min="6161" max="6161" width="6.42578125" style="19" customWidth="1"/>
    <col min="6162" max="6163" width="5.7109375" style="19" customWidth="1"/>
    <col min="6164" max="6168" width="27.7109375" style="19" customWidth="1"/>
    <col min="6169" max="6169" width="16.85546875" style="19" customWidth="1"/>
    <col min="6170" max="6170" width="10.42578125" style="19" customWidth="1"/>
    <col min="6171" max="6171" width="11" style="19" customWidth="1"/>
    <col min="6172" max="6172" width="10.85546875" style="19" customWidth="1"/>
    <col min="6173" max="6173" width="17.5703125" style="19" customWidth="1"/>
    <col min="6174" max="6174" width="9.7109375" style="19" customWidth="1"/>
    <col min="6175" max="6175" width="17.28515625" style="19" customWidth="1"/>
    <col min="6176" max="6176" width="10.42578125" style="19" customWidth="1"/>
    <col min="6177" max="6177" width="10.7109375" style="19" customWidth="1"/>
    <col min="6178" max="6178" width="8.140625" style="19" customWidth="1"/>
    <col min="6179" max="6179" width="8.7109375" style="19" customWidth="1"/>
    <col min="6180" max="6400" width="11.42578125" style="19"/>
    <col min="6401" max="6401" width="3" style="19" customWidth="1"/>
    <col min="6402" max="6402" width="9.28515625" style="19" customWidth="1"/>
    <col min="6403" max="6403" width="3.7109375" style="19" customWidth="1"/>
    <col min="6404" max="6404" width="4.7109375" style="19" customWidth="1"/>
    <col min="6405" max="6405" width="1.7109375" style="19" customWidth="1"/>
    <col min="6406" max="6408" width="5.7109375" style="19" customWidth="1"/>
    <col min="6409" max="6409" width="3.7109375" style="19" customWidth="1"/>
    <col min="6410" max="6410" width="4.7109375" style="19" customWidth="1"/>
    <col min="6411" max="6411" width="5.7109375" style="19" customWidth="1"/>
    <col min="6412" max="6412" width="6.140625" style="19" customWidth="1"/>
    <col min="6413" max="6413" width="5.7109375" style="19" customWidth="1"/>
    <col min="6414" max="6414" width="0.85546875" style="19" customWidth="1"/>
    <col min="6415" max="6415" width="6.7109375" style="19" customWidth="1"/>
    <col min="6416" max="6416" width="5.7109375" style="19" customWidth="1"/>
    <col min="6417" max="6417" width="6.42578125" style="19" customWidth="1"/>
    <col min="6418" max="6419" width="5.7109375" style="19" customWidth="1"/>
    <col min="6420" max="6424" width="27.7109375" style="19" customWidth="1"/>
    <col min="6425" max="6425" width="16.85546875" style="19" customWidth="1"/>
    <col min="6426" max="6426" width="10.42578125" style="19" customWidth="1"/>
    <col min="6427" max="6427" width="11" style="19" customWidth="1"/>
    <col min="6428" max="6428" width="10.85546875" style="19" customWidth="1"/>
    <col min="6429" max="6429" width="17.5703125" style="19" customWidth="1"/>
    <col min="6430" max="6430" width="9.7109375" style="19" customWidth="1"/>
    <col min="6431" max="6431" width="17.28515625" style="19" customWidth="1"/>
    <col min="6432" max="6432" width="10.42578125" style="19" customWidth="1"/>
    <col min="6433" max="6433" width="10.7109375" style="19" customWidth="1"/>
    <col min="6434" max="6434" width="8.140625" style="19" customWidth="1"/>
    <col min="6435" max="6435" width="8.7109375" style="19" customWidth="1"/>
    <col min="6436" max="6656" width="11.42578125" style="19"/>
    <col min="6657" max="6657" width="3" style="19" customWidth="1"/>
    <col min="6658" max="6658" width="9.28515625" style="19" customWidth="1"/>
    <col min="6659" max="6659" width="3.7109375" style="19" customWidth="1"/>
    <col min="6660" max="6660" width="4.7109375" style="19" customWidth="1"/>
    <col min="6661" max="6661" width="1.7109375" style="19" customWidth="1"/>
    <col min="6662" max="6664" width="5.7109375" style="19" customWidth="1"/>
    <col min="6665" max="6665" width="3.7109375" style="19" customWidth="1"/>
    <col min="6666" max="6666" width="4.7109375" style="19" customWidth="1"/>
    <col min="6667" max="6667" width="5.7109375" style="19" customWidth="1"/>
    <col min="6668" max="6668" width="6.140625" style="19" customWidth="1"/>
    <col min="6669" max="6669" width="5.7109375" style="19" customWidth="1"/>
    <col min="6670" max="6670" width="0.85546875" style="19" customWidth="1"/>
    <col min="6671" max="6671" width="6.7109375" style="19" customWidth="1"/>
    <col min="6672" max="6672" width="5.7109375" style="19" customWidth="1"/>
    <col min="6673" max="6673" width="6.42578125" style="19" customWidth="1"/>
    <col min="6674" max="6675" width="5.7109375" style="19" customWidth="1"/>
    <col min="6676" max="6680" width="27.7109375" style="19" customWidth="1"/>
    <col min="6681" max="6681" width="16.85546875" style="19" customWidth="1"/>
    <col min="6682" max="6682" width="10.42578125" style="19" customWidth="1"/>
    <col min="6683" max="6683" width="11" style="19" customWidth="1"/>
    <col min="6684" max="6684" width="10.85546875" style="19" customWidth="1"/>
    <col min="6685" max="6685" width="17.5703125" style="19" customWidth="1"/>
    <col min="6686" max="6686" width="9.7109375" style="19" customWidth="1"/>
    <col min="6687" max="6687" width="17.28515625" style="19" customWidth="1"/>
    <col min="6688" max="6688" width="10.42578125" style="19" customWidth="1"/>
    <col min="6689" max="6689" width="10.7109375" style="19" customWidth="1"/>
    <col min="6690" max="6690" width="8.140625" style="19" customWidth="1"/>
    <col min="6691" max="6691" width="8.7109375" style="19" customWidth="1"/>
    <col min="6692" max="6912" width="11.42578125" style="19"/>
    <col min="6913" max="6913" width="3" style="19" customWidth="1"/>
    <col min="6914" max="6914" width="9.28515625" style="19" customWidth="1"/>
    <col min="6915" max="6915" width="3.7109375" style="19" customWidth="1"/>
    <col min="6916" max="6916" width="4.7109375" style="19" customWidth="1"/>
    <col min="6917" max="6917" width="1.7109375" style="19" customWidth="1"/>
    <col min="6918" max="6920" width="5.7109375" style="19" customWidth="1"/>
    <col min="6921" max="6921" width="3.7109375" style="19" customWidth="1"/>
    <col min="6922" max="6922" width="4.7109375" style="19" customWidth="1"/>
    <col min="6923" max="6923" width="5.7109375" style="19" customWidth="1"/>
    <col min="6924" max="6924" width="6.140625" style="19" customWidth="1"/>
    <col min="6925" max="6925" width="5.7109375" style="19" customWidth="1"/>
    <col min="6926" max="6926" width="0.85546875" style="19" customWidth="1"/>
    <col min="6927" max="6927" width="6.7109375" style="19" customWidth="1"/>
    <col min="6928" max="6928" width="5.7109375" style="19" customWidth="1"/>
    <col min="6929" max="6929" width="6.42578125" style="19" customWidth="1"/>
    <col min="6930" max="6931" width="5.7109375" style="19" customWidth="1"/>
    <col min="6932" max="6936" width="27.7109375" style="19" customWidth="1"/>
    <col min="6937" max="6937" width="16.85546875" style="19" customWidth="1"/>
    <col min="6938" max="6938" width="10.42578125" style="19" customWidth="1"/>
    <col min="6939" max="6939" width="11" style="19" customWidth="1"/>
    <col min="6940" max="6940" width="10.85546875" style="19" customWidth="1"/>
    <col min="6941" max="6941" width="17.5703125" style="19" customWidth="1"/>
    <col min="6942" max="6942" width="9.7109375" style="19" customWidth="1"/>
    <col min="6943" max="6943" width="17.28515625" style="19" customWidth="1"/>
    <col min="6944" max="6944" width="10.42578125" style="19" customWidth="1"/>
    <col min="6945" max="6945" width="10.7109375" style="19" customWidth="1"/>
    <col min="6946" max="6946" width="8.140625" style="19" customWidth="1"/>
    <col min="6947" max="6947" width="8.7109375" style="19" customWidth="1"/>
    <col min="6948" max="7168" width="11.42578125" style="19"/>
    <col min="7169" max="7169" width="3" style="19" customWidth="1"/>
    <col min="7170" max="7170" width="9.28515625" style="19" customWidth="1"/>
    <col min="7171" max="7171" width="3.7109375" style="19" customWidth="1"/>
    <col min="7172" max="7172" width="4.7109375" style="19" customWidth="1"/>
    <col min="7173" max="7173" width="1.7109375" style="19" customWidth="1"/>
    <col min="7174" max="7176" width="5.7109375" style="19" customWidth="1"/>
    <col min="7177" max="7177" width="3.7109375" style="19" customWidth="1"/>
    <col min="7178" max="7178" width="4.7109375" style="19" customWidth="1"/>
    <col min="7179" max="7179" width="5.7109375" style="19" customWidth="1"/>
    <col min="7180" max="7180" width="6.140625" style="19" customWidth="1"/>
    <col min="7181" max="7181" width="5.7109375" style="19" customWidth="1"/>
    <col min="7182" max="7182" width="0.85546875" style="19" customWidth="1"/>
    <col min="7183" max="7183" width="6.7109375" style="19" customWidth="1"/>
    <col min="7184" max="7184" width="5.7109375" style="19" customWidth="1"/>
    <col min="7185" max="7185" width="6.42578125" style="19" customWidth="1"/>
    <col min="7186" max="7187" width="5.7109375" style="19" customWidth="1"/>
    <col min="7188" max="7192" width="27.7109375" style="19" customWidth="1"/>
    <col min="7193" max="7193" width="16.85546875" style="19" customWidth="1"/>
    <col min="7194" max="7194" width="10.42578125" style="19" customWidth="1"/>
    <col min="7195" max="7195" width="11" style="19" customWidth="1"/>
    <col min="7196" max="7196" width="10.85546875" style="19" customWidth="1"/>
    <col min="7197" max="7197" width="17.5703125" style="19" customWidth="1"/>
    <col min="7198" max="7198" width="9.7109375" style="19" customWidth="1"/>
    <col min="7199" max="7199" width="17.28515625" style="19" customWidth="1"/>
    <col min="7200" max="7200" width="10.42578125" style="19" customWidth="1"/>
    <col min="7201" max="7201" width="10.7109375" style="19" customWidth="1"/>
    <col min="7202" max="7202" width="8.140625" style="19" customWidth="1"/>
    <col min="7203" max="7203" width="8.7109375" style="19" customWidth="1"/>
    <col min="7204" max="7424" width="11.42578125" style="19"/>
    <col min="7425" max="7425" width="3" style="19" customWidth="1"/>
    <col min="7426" max="7426" width="9.28515625" style="19" customWidth="1"/>
    <col min="7427" max="7427" width="3.7109375" style="19" customWidth="1"/>
    <col min="7428" max="7428" width="4.7109375" style="19" customWidth="1"/>
    <col min="7429" max="7429" width="1.7109375" style="19" customWidth="1"/>
    <col min="7430" max="7432" width="5.7109375" style="19" customWidth="1"/>
    <col min="7433" max="7433" width="3.7109375" style="19" customWidth="1"/>
    <col min="7434" max="7434" width="4.7109375" style="19" customWidth="1"/>
    <col min="7435" max="7435" width="5.7109375" style="19" customWidth="1"/>
    <col min="7436" max="7436" width="6.140625" style="19" customWidth="1"/>
    <col min="7437" max="7437" width="5.7109375" style="19" customWidth="1"/>
    <col min="7438" max="7438" width="0.85546875" style="19" customWidth="1"/>
    <col min="7439" max="7439" width="6.7109375" style="19" customWidth="1"/>
    <col min="7440" max="7440" width="5.7109375" style="19" customWidth="1"/>
    <col min="7441" max="7441" width="6.42578125" style="19" customWidth="1"/>
    <col min="7442" max="7443" width="5.7109375" style="19" customWidth="1"/>
    <col min="7444" max="7448" width="27.7109375" style="19" customWidth="1"/>
    <col min="7449" max="7449" width="16.85546875" style="19" customWidth="1"/>
    <col min="7450" max="7450" width="10.42578125" style="19" customWidth="1"/>
    <col min="7451" max="7451" width="11" style="19" customWidth="1"/>
    <col min="7452" max="7452" width="10.85546875" style="19" customWidth="1"/>
    <col min="7453" max="7453" width="17.5703125" style="19" customWidth="1"/>
    <col min="7454" max="7454" width="9.7109375" style="19" customWidth="1"/>
    <col min="7455" max="7455" width="17.28515625" style="19" customWidth="1"/>
    <col min="7456" max="7456" width="10.42578125" style="19" customWidth="1"/>
    <col min="7457" max="7457" width="10.7109375" style="19" customWidth="1"/>
    <col min="7458" max="7458" width="8.140625" style="19" customWidth="1"/>
    <col min="7459" max="7459" width="8.7109375" style="19" customWidth="1"/>
    <col min="7460" max="7680" width="11.42578125" style="19"/>
    <col min="7681" max="7681" width="3" style="19" customWidth="1"/>
    <col min="7682" max="7682" width="9.28515625" style="19" customWidth="1"/>
    <col min="7683" max="7683" width="3.7109375" style="19" customWidth="1"/>
    <col min="7684" max="7684" width="4.7109375" style="19" customWidth="1"/>
    <col min="7685" max="7685" width="1.7109375" style="19" customWidth="1"/>
    <col min="7686" max="7688" width="5.7109375" style="19" customWidth="1"/>
    <col min="7689" max="7689" width="3.7109375" style="19" customWidth="1"/>
    <col min="7690" max="7690" width="4.7109375" style="19" customWidth="1"/>
    <col min="7691" max="7691" width="5.7109375" style="19" customWidth="1"/>
    <col min="7692" max="7692" width="6.140625" style="19" customWidth="1"/>
    <col min="7693" max="7693" width="5.7109375" style="19" customWidth="1"/>
    <col min="7694" max="7694" width="0.85546875" style="19" customWidth="1"/>
    <col min="7695" max="7695" width="6.7109375" style="19" customWidth="1"/>
    <col min="7696" max="7696" width="5.7109375" style="19" customWidth="1"/>
    <col min="7697" max="7697" width="6.42578125" style="19" customWidth="1"/>
    <col min="7698" max="7699" width="5.7109375" style="19" customWidth="1"/>
    <col min="7700" max="7704" width="27.7109375" style="19" customWidth="1"/>
    <col min="7705" max="7705" width="16.85546875" style="19" customWidth="1"/>
    <col min="7706" max="7706" width="10.42578125" style="19" customWidth="1"/>
    <col min="7707" max="7707" width="11" style="19" customWidth="1"/>
    <col min="7708" max="7708" width="10.85546875" style="19" customWidth="1"/>
    <col min="7709" max="7709" width="17.5703125" style="19" customWidth="1"/>
    <col min="7710" max="7710" width="9.7109375" style="19" customWidth="1"/>
    <col min="7711" max="7711" width="17.28515625" style="19" customWidth="1"/>
    <col min="7712" max="7712" width="10.42578125" style="19" customWidth="1"/>
    <col min="7713" max="7713" width="10.7109375" style="19" customWidth="1"/>
    <col min="7714" max="7714" width="8.140625" style="19" customWidth="1"/>
    <col min="7715" max="7715" width="8.7109375" style="19" customWidth="1"/>
    <col min="7716" max="7936" width="11.42578125" style="19"/>
    <col min="7937" max="7937" width="3" style="19" customWidth="1"/>
    <col min="7938" max="7938" width="9.28515625" style="19" customWidth="1"/>
    <col min="7939" max="7939" width="3.7109375" style="19" customWidth="1"/>
    <col min="7940" max="7940" width="4.7109375" style="19" customWidth="1"/>
    <col min="7941" max="7941" width="1.7109375" style="19" customWidth="1"/>
    <col min="7942" max="7944" width="5.7109375" style="19" customWidth="1"/>
    <col min="7945" max="7945" width="3.7109375" style="19" customWidth="1"/>
    <col min="7946" max="7946" width="4.7109375" style="19" customWidth="1"/>
    <col min="7947" max="7947" width="5.7109375" style="19" customWidth="1"/>
    <col min="7948" max="7948" width="6.140625" style="19" customWidth="1"/>
    <col min="7949" max="7949" width="5.7109375" style="19" customWidth="1"/>
    <col min="7950" max="7950" width="0.85546875" style="19" customWidth="1"/>
    <col min="7951" max="7951" width="6.7109375" style="19" customWidth="1"/>
    <col min="7952" max="7952" width="5.7109375" style="19" customWidth="1"/>
    <col min="7953" max="7953" width="6.42578125" style="19" customWidth="1"/>
    <col min="7954" max="7955" width="5.7109375" style="19" customWidth="1"/>
    <col min="7956" max="7960" width="27.7109375" style="19" customWidth="1"/>
    <col min="7961" max="7961" width="16.85546875" style="19" customWidth="1"/>
    <col min="7962" max="7962" width="10.42578125" style="19" customWidth="1"/>
    <col min="7963" max="7963" width="11" style="19" customWidth="1"/>
    <col min="7964" max="7964" width="10.85546875" style="19" customWidth="1"/>
    <col min="7965" max="7965" width="17.5703125" style="19" customWidth="1"/>
    <col min="7966" max="7966" width="9.7109375" style="19" customWidth="1"/>
    <col min="7967" max="7967" width="17.28515625" style="19" customWidth="1"/>
    <col min="7968" max="7968" width="10.42578125" style="19" customWidth="1"/>
    <col min="7969" max="7969" width="10.7109375" style="19" customWidth="1"/>
    <col min="7970" max="7970" width="8.140625" style="19" customWidth="1"/>
    <col min="7971" max="7971" width="8.7109375" style="19" customWidth="1"/>
    <col min="7972" max="8192" width="11.42578125" style="19"/>
    <col min="8193" max="8193" width="3" style="19" customWidth="1"/>
    <col min="8194" max="8194" width="9.28515625" style="19" customWidth="1"/>
    <col min="8195" max="8195" width="3.7109375" style="19" customWidth="1"/>
    <col min="8196" max="8196" width="4.7109375" style="19" customWidth="1"/>
    <col min="8197" max="8197" width="1.7109375" style="19" customWidth="1"/>
    <col min="8198" max="8200" width="5.7109375" style="19" customWidth="1"/>
    <col min="8201" max="8201" width="3.7109375" style="19" customWidth="1"/>
    <col min="8202" max="8202" width="4.7109375" style="19" customWidth="1"/>
    <col min="8203" max="8203" width="5.7109375" style="19" customWidth="1"/>
    <col min="8204" max="8204" width="6.140625" style="19" customWidth="1"/>
    <col min="8205" max="8205" width="5.7109375" style="19" customWidth="1"/>
    <col min="8206" max="8206" width="0.85546875" style="19" customWidth="1"/>
    <col min="8207" max="8207" width="6.7109375" style="19" customWidth="1"/>
    <col min="8208" max="8208" width="5.7109375" style="19" customWidth="1"/>
    <col min="8209" max="8209" width="6.42578125" style="19" customWidth="1"/>
    <col min="8210" max="8211" width="5.7109375" style="19" customWidth="1"/>
    <col min="8212" max="8216" width="27.7109375" style="19" customWidth="1"/>
    <col min="8217" max="8217" width="16.85546875" style="19" customWidth="1"/>
    <col min="8218" max="8218" width="10.42578125" style="19" customWidth="1"/>
    <col min="8219" max="8219" width="11" style="19" customWidth="1"/>
    <col min="8220" max="8220" width="10.85546875" style="19" customWidth="1"/>
    <col min="8221" max="8221" width="17.5703125" style="19" customWidth="1"/>
    <col min="8222" max="8222" width="9.7109375" style="19" customWidth="1"/>
    <col min="8223" max="8223" width="17.28515625" style="19" customWidth="1"/>
    <col min="8224" max="8224" width="10.42578125" style="19" customWidth="1"/>
    <col min="8225" max="8225" width="10.7109375" style="19" customWidth="1"/>
    <col min="8226" max="8226" width="8.140625" style="19" customWidth="1"/>
    <col min="8227" max="8227" width="8.7109375" style="19" customWidth="1"/>
    <col min="8228" max="8448" width="11.42578125" style="19"/>
    <col min="8449" max="8449" width="3" style="19" customWidth="1"/>
    <col min="8450" max="8450" width="9.28515625" style="19" customWidth="1"/>
    <col min="8451" max="8451" width="3.7109375" style="19" customWidth="1"/>
    <col min="8452" max="8452" width="4.7109375" style="19" customWidth="1"/>
    <col min="8453" max="8453" width="1.7109375" style="19" customWidth="1"/>
    <col min="8454" max="8456" width="5.7109375" style="19" customWidth="1"/>
    <col min="8457" max="8457" width="3.7109375" style="19" customWidth="1"/>
    <col min="8458" max="8458" width="4.7109375" style="19" customWidth="1"/>
    <col min="8459" max="8459" width="5.7109375" style="19" customWidth="1"/>
    <col min="8460" max="8460" width="6.140625" style="19" customWidth="1"/>
    <col min="8461" max="8461" width="5.7109375" style="19" customWidth="1"/>
    <col min="8462" max="8462" width="0.85546875" style="19" customWidth="1"/>
    <col min="8463" max="8463" width="6.7109375" style="19" customWidth="1"/>
    <col min="8464" max="8464" width="5.7109375" style="19" customWidth="1"/>
    <col min="8465" max="8465" width="6.42578125" style="19" customWidth="1"/>
    <col min="8466" max="8467" width="5.7109375" style="19" customWidth="1"/>
    <col min="8468" max="8472" width="27.7109375" style="19" customWidth="1"/>
    <col min="8473" max="8473" width="16.85546875" style="19" customWidth="1"/>
    <col min="8474" max="8474" width="10.42578125" style="19" customWidth="1"/>
    <col min="8475" max="8475" width="11" style="19" customWidth="1"/>
    <col min="8476" max="8476" width="10.85546875" style="19" customWidth="1"/>
    <col min="8477" max="8477" width="17.5703125" style="19" customWidth="1"/>
    <col min="8478" max="8478" width="9.7109375" style="19" customWidth="1"/>
    <col min="8479" max="8479" width="17.28515625" style="19" customWidth="1"/>
    <col min="8480" max="8480" width="10.42578125" style="19" customWidth="1"/>
    <col min="8481" max="8481" width="10.7109375" style="19" customWidth="1"/>
    <col min="8482" max="8482" width="8.140625" style="19" customWidth="1"/>
    <col min="8483" max="8483" width="8.7109375" style="19" customWidth="1"/>
    <col min="8484" max="8704" width="11.42578125" style="19"/>
    <col min="8705" max="8705" width="3" style="19" customWidth="1"/>
    <col min="8706" max="8706" width="9.28515625" style="19" customWidth="1"/>
    <col min="8707" max="8707" width="3.7109375" style="19" customWidth="1"/>
    <col min="8708" max="8708" width="4.7109375" style="19" customWidth="1"/>
    <col min="8709" max="8709" width="1.7109375" style="19" customWidth="1"/>
    <col min="8710" max="8712" width="5.7109375" style="19" customWidth="1"/>
    <col min="8713" max="8713" width="3.7109375" style="19" customWidth="1"/>
    <col min="8714" max="8714" width="4.7109375" style="19" customWidth="1"/>
    <col min="8715" max="8715" width="5.7109375" style="19" customWidth="1"/>
    <col min="8716" max="8716" width="6.140625" style="19" customWidth="1"/>
    <col min="8717" max="8717" width="5.7109375" style="19" customWidth="1"/>
    <col min="8718" max="8718" width="0.85546875" style="19" customWidth="1"/>
    <col min="8719" max="8719" width="6.7109375" style="19" customWidth="1"/>
    <col min="8720" max="8720" width="5.7109375" style="19" customWidth="1"/>
    <col min="8721" max="8721" width="6.42578125" style="19" customWidth="1"/>
    <col min="8722" max="8723" width="5.7109375" style="19" customWidth="1"/>
    <col min="8724" max="8728" width="27.7109375" style="19" customWidth="1"/>
    <col min="8729" max="8729" width="16.85546875" style="19" customWidth="1"/>
    <col min="8730" max="8730" width="10.42578125" style="19" customWidth="1"/>
    <col min="8731" max="8731" width="11" style="19" customWidth="1"/>
    <col min="8732" max="8732" width="10.85546875" style="19" customWidth="1"/>
    <col min="8733" max="8733" width="17.5703125" style="19" customWidth="1"/>
    <col min="8734" max="8734" width="9.7109375" style="19" customWidth="1"/>
    <col min="8735" max="8735" width="17.28515625" style="19" customWidth="1"/>
    <col min="8736" max="8736" width="10.42578125" style="19" customWidth="1"/>
    <col min="8737" max="8737" width="10.7109375" style="19" customWidth="1"/>
    <col min="8738" max="8738" width="8.140625" style="19" customWidth="1"/>
    <col min="8739" max="8739" width="8.7109375" style="19" customWidth="1"/>
    <col min="8740" max="8960" width="11.42578125" style="19"/>
    <col min="8961" max="8961" width="3" style="19" customWidth="1"/>
    <col min="8962" max="8962" width="9.28515625" style="19" customWidth="1"/>
    <col min="8963" max="8963" width="3.7109375" style="19" customWidth="1"/>
    <col min="8964" max="8964" width="4.7109375" style="19" customWidth="1"/>
    <col min="8965" max="8965" width="1.7109375" style="19" customWidth="1"/>
    <col min="8966" max="8968" width="5.7109375" style="19" customWidth="1"/>
    <col min="8969" max="8969" width="3.7109375" style="19" customWidth="1"/>
    <col min="8970" max="8970" width="4.7109375" style="19" customWidth="1"/>
    <col min="8971" max="8971" width="5.7109375" style="19" customWidth="1"/>
    <col min="8972" max="8972" width="6.140625" style="19" customWidth="1"/>
    <col min="8973" max="8973" width="5.7109375" style="19" customWidth="1"/>
    <col min="8974" max="8974" width="0.85546875" style="19" customWidth="1"/>
    <col min="8975" max="8975" width="6.7109375" style="19" customWidth="1"/>
    <col min="8976" max="8976" width="5.7109375" style="19" customWidth="1"/>
    <col min="8977" max="8977" width="6.42578125" style="19" customWidth="1"/>
    <col min="8978" max="8979" width="5.7109375" style="19" customWidth="1"/>
    <col min="8980" max="8984" width="27.7109375" style="19" customWidth="1"/>
    <col min="8985" max="8985" width="16.85546875" style="19" customWidth="1"/>
    <col min="8986" max="8986" width="10.42578125" style="19" customWidth="1"/>
    <col min="8987" max="8987" width="11" style="19" customWidth="1"/>
    <col min="8988" max="8988" width="10.85546875" style="19" customWidth="1"/>
    <col min="8989" max="8989" width="17.5703125" style="19" customWidth="1"/>
    <col min="8990" max="8990" width="9.7109375" style="19" customWidth="1"/>
    <col min="8991" max="8991" width="17.28515625" style="19" customWidth="1"/>
    <col min="8992" max="8992" width="10.42578125" style="19" customWidth="1"/>
    <col min="8993" max="8993" width="10.7109375" style="19" customWidth="1"/>
    <col min="8994" max="8994" width="8.140625" style="19" customWidth="1"/>
    <col min="8995" max="8995" width="8.7109375" style="19" customWidth="1"/>
    <col min="8996" max="9216" width="11.42578125" style="19"/>
    <col min="9217" max="9217" width="3" style="19" customWidth="1"/>
    <col min="9218" max="9218" width="9.28515625" style="19" customWidth="1"/>
    <col min="9219" max="9219" width="3.7109375" style="19" customWidth="1"/>
    <col min="9220" max="9220" width="4.7109375" style="19" customWidth="1"/>
    <col min="9221" max="9221" width="1.7109375" style="19" customWidth="1"/>
    <col min="9222" max="9224" width="5.7109375" style="19" customWidth="1"/>
    <col min="9225" max="9225" width="3.7109375" style="19" customWidth="1"/>
    <col min="9226" max="9226" width="4.7109375" style="19" customWidth="1"/>
    <col min="9227" max="9227" width="5.7109375" style="19" customWidth="1"/>
    <col min="9228" max="9228" width="6.140625" style="19" customWidth="1"/>
    <col min="9229" max="9229" width="5.7109375" style="19" customWidth="1"/>
    <col min="9230" max="9230" width="0.85546875" style="19" customWidth="1"/>
    <col min="9231" max="9231" width="6.7109375" style="19" customWidth="1"/>
    <col min="9232" max="9232" width="5.7109375" style="19" customWidth="1"/>
    <col min="9233" max="9233" width="6.42578125" style="19" customWidth="1"/>
    <col min="9234" max="9235" width="5.7109375" style="19" customWidth="1"/>
    <col min="9236" max="9240" width="27.7109375" style="19" customWidth="1"/>
    <col min="9241" max="9241" width="16.85546875" style="19" customWidth="1"/>
    <col min="9242" max="9242" width="10.42578125" style="19" customWidth="1"/>
    <col min="9243" max="9243" width="11" style="19" customWidth="1"/>
    <col min="9244" max="9244" width="10.85546875" style="19" customWidth="1"/>
    <col min="9245" max="9245" width="17.5703125" style="19" customWidth="1"/>
    <col min="9246" max="9246" width="9.7109375" style="19" customWidth="1"/>
    <col min="9247" max="9247" width="17.28515625" style="19" customWidth="1"/>
    <col min="9248" max="9248" width="10.42578125" style="19" customWidth="1"/>
    <col min="9249" max="9249" width="10.7109375" style="19" customWidth="1"/>
    <col min="9250" max="9250" width="8.140625" style="19" customWidth="1"/>
    <col min="9251" max="9251" width="8.7109375" style="19" customWidth="1"/>
    <col min="9252" max="9472" width="11.42578125" style="19"/>
    <col min="9473" max="9473" width="3" style="19" customWidth="1"/>
    <col min="9474" max="9474" width="9.28515625" style="19" customWidth="1"/>
    <col min="9475" max="9475" width="3.7109375" style="19" customWidth="1"/>
    <col min="9476" max="9476" width="4.7109375" style="19" customWidth="1"/>
    <col min="9477" max="9477" width="1.7109375" style="19" customWidth="1"/>
    <col min="9478" max="9480" width="5.7109375" style="19" customWidth="1"/>
    <col min="9481" max="9481" width="3.7109375" style="19" customWidth="1"/>
    <col min="9482" max="9482" width="4.7109375" style="19" customWidth="1"/>
    <col min="9483" max="9483" width="5.7109375" style="19" customWidth="1"/>
    <col min="9484" max="9484" width="6.140625" style="19" customWidth="1"/>
    <col min="9485" max="9485" width="5.7109375" style="19" customWidth="1"/>
    <col min="9486" max="9486" width="0.85546875" style="19" customWidth="1"/>
    <col min="9487" max="9487" width="6.7109375" style="19" customWidth="1"/>
    <col min="9488" max="9488" width="5.7109375" style="19" customWidth="1"/>
    <col min="9489" max="9489" width="6.42578125" style="19" customWidth="1"/>
    <col min="9490" max="9491" width="5.7109375" style="19" customWidth="1"/>
    <col min="9492" max="9496" width="27.7109375" style="19" customWidth="1"/>
    <col min="9497" max="9497" width="16.85546875" style="19" customWidth="1"/>
    <col min="9498" max="9498" width="10.42578125" style="19" customWidth="1"/>
    <col min="9499" max="9499" width="11" style="19" customWidth="1"/>
    <col min="9500" max="9500" width="10.85546875" style="19" customWidth="1"/>
    <col min="9501" max="9501" width="17.5703125" style="19" customWidth="1"/>
    <col min="9502" max="9502" width="9.7109375" style="19" customWidth="1"/>
    <col min="9503" max="9503" width="17.28515625" style="19" customWidth="1"/>
    <col min="9504" max="9504" width="10.42578125" style="19" customWidth="1"/>
    <col min="9505" max="9505" width="10.7109375" style="19" customWidth="1"/>
    <col min="9506" max="9506" width="8.140625" style="19" customWidth="1"/>
    <col min="9507" max="9507" width="8.7109375" style="19" customWidth="1"/>
    <col min="9508" max="9728" width="11.42578125" style="19"/>
    <col min="9729" max="9729" width="3" style="19" customWidth="1"/>
    <col min="9730" max="9730" width="9.28515625" style="19" customWidth="1"/>
    <col min="9731" max="9731" width="3.7109375" style="19" customWidth="1"/>
    <col min="9732" max="9732" width="4.7109375" style="19" customWidth="1"/>
    <col min="9733" max="9733" width="1.7109375" style="19" customWidth="1"/>
    <col min="9734" max="9736" width="5.7109375" style="19" customWidth="1"/>
    <col min="9737" max="9737" width="3.7109375" style="19" customWidth="1"/>
    <col min="9738" max="9738" width="4.7109375" style="19" customWidth="1"/>
    <col min="9739" max="9739" width="5.7109375" style="19" customWidth="1"/>
    <col min="9740" max="9740" width="6.140625" style="19" customWidth="1"/>
    <col min="9741" max="9741" width="5.7109375" style="19" customWidth="1"/>
    <col min="9742" max="9742" width="0.85546875" style="19" customWidth="1"/>
    <col min="9743" max="9743" width="6.7109375" style="19" customWidth="1"/>
    <col min="9744" max="9744" width="5.7109375" style="19" customWidth="1"/>
    <col min="9745" max="9745" width="6.42578125" style="19" customWidth="1"/>
    <col min="9746" max="9747" width="5.7109375" style="19" customWidth="1"/>
    <col min="9748" max="9752" width="27.7109375" style="19" customWidth="1"/>
    <col min="9753" max="9753" width="16.85546875" style="19" customWidth="1"/>
    <col min="9754" max="9754" width="10.42578125" style="19" customWidth="1"/>
    <col min="9755" max="9755" width="11" style="19" customWidth="1"/>
    <col min="9756" max="9756" width="10.85546875" style="19" customWidth="1"/>
    <col min="9757" max="9757" width="17.5703125" style="19" customWidth="1"/>
    <col min="9758" max="9758" width="9.7109375" style="19" customWidth="1"/>
    <col min="9759" max="9759" width="17.28515625" style="19" customWidth="1"/>
    <col min="9760" max="9760" width="10.42578125" style="19" customWidth="1"/>
    <col min="9761" max="9761" width="10.7109375" style="19" customWidth="1"/>
    <col min="9762" max="9762" width="8.140625" style="19" customWidth="1"/>
    <col min="9763" max="9763" width="8.7109375" style="19" customWidth="1"/>
    <col min="9764" max="9984" width="11.42578125" style="19"/>
    <col min="9985" max="9985" width="3" style="19" customWidth="1"/>
    <col min="9986" max="9986" width="9.28515625" style="19" customWidth="1"/>
    <col min="9987" max="9987" width="3.7109375" style="19" customWidth="1"/>
    <col min="9988" max="9988" width="4.7109375" style="19" customWidth="1"/>
    <col min="9989" max="9989" width="1.7109375" style="19" customWidth="1"/>
    <col min="9990" max="9992" width="5.7109375" style="19" customWidth="1"/>
    <col min="9993" max="9993" width="3.7109375" style="19" customWidth="1"/>
    <col min="9994" max="9994" width="4.7109375" style="19" customWidth="1"/>
    <col min="9995" max="9995" width="5.7109375" style="19" customWidth="1"/>
    <col min="9996" max="9996" width="6.140625" style="19" customWidth="1"/>
    <col min="9997" max="9997" width="5.7109375" style="19" customWidth="1"/>
    <col min="9998" max="9998" width="0.85546875" style="19" customWidth="1"/>
    <col min="9999" max="9999" width="6.7109375" style="19" customWidth="1"/>
    <col min="10000" max="10000" width="5.7109375" style="19" customWidth="1"/>
    <col min="10001" max="10001" width="6.42578125" style="19" customWidth="1"/>
    <col min="10002" max="10003" width="5.7109375" style="19" customWidth="1"/>
    <col min="10004" max="10008" width="27.7109375" style="19" customWidth="1"/>
    <col min="10009" max="10009" width="16.85546875" style="19" customWidth="1"/>
    <col min="10010" max="10010" width="10.42578125" style="19" customWidth="1"/>
    <col min="10011" max="10011" width="11" style="19" customWidth="1"/>
    <col min="10012" max="10012" width="10.85546875" style="19" customWidth="1"/>
    <col min="10013" max="10013" width="17.5703125" style="19" customWidth="1"/>
    <col min="10014" max="10014" width="9.7109375" style="19" customWidth="1"/>
    <col min="10015" max="10015" width="17.28515625" style="19" customWidth="1"/>
    <col min="10016" max="10016" width="10.42578125" style="19" customWidth="1"/>
    <col min="10017" max="10017" width="10.7109375" style="19" customWidth="1"/>
    <col min="10018" max="10018" width="8.140625" style="19" customWidth="1"/>
    <col min="10019" max="10019" width="8.7109375" style="19" customWidth="1"/>
    <col min="10020" max="10240" width="11.42578125" style="19"/>
    <col min="10241" max="10241" width="3" style="19" customWidth="1"/>
    <col min="10242" max="10242" width="9.28515625" style="19" customWidth="1"/>
    <col min="10243" max="10243" width="3.7109375" style="19" customWidth="1"/>
    <col min="10244" max="10244" width="4.7109375" style="19" customWidth="1"/>
    <col min="10245" max="10245" width="1.7109375" style="19" customWidth="1"/>
    <col min="10246" max="10248" width="5.7109375" style="19" customWidth="1"/>
    <col min="10249" max="10249" width="3.7109375" style="19" customWidth="1"/>
    <col min="10250" max="10250" width="4.7109375" style="19" customWidth="1"/>
    <col min="10251" max="10251" width="5.7109375" style="19" customWidth="1"/>
    <col min="10252" max="10252" width="6.140625" style="19" customWidth="1"/>
    <col min="10253" max="10253" width="5.7109375" style="19" customWidth="1"/>
    <col min="10254" max="10254" width="0.85546875" style="19" customWidth="1"/>
    <col min="10255" max="10255" width="6.7109375" style="19" customWidth="1"/>
    <col min="10256" max="10256" width="5.7109375" style="19" customWidth="1"/>
    <col min="10257" max="10257" width="6.42578125" style="19" customWidth="1"/>
    <col min="10258" max="10259" width="5.7109375" style="19" customWidth="1"/>
    <col min="10260" max="10264" width="27.7109375" style="19" customWidth="1"/>
    <col min="10265" max="10265" width="16.85546875" style="19" customWidth="1"/>
    <col min="10266" max="10266" width="10.42578125" style="19" customWidth="1"/>
    <col min="10267" max="10267" width="11" style="19" customWidth="1"/>
    <col min="10268" max="10268" width="10.85546875" style="19" customWidth="1"/>
    <col min="10269" max="10269" width="17.5703125" style="19" customWidth="1"/>
    <col min="10270" max="10270" width="9.7109375" style="19" customWidth="1"/>
    <col min="10271" max="10271" width="17.28515625" style="19" customWidth="1"/>
    <col min="10272" max="10272" width="10.42578125" style="19" customWidth="1"/>
    <col min="10273" max="10273" width="10.7109375" style="19" customWidth="1"/>
    <col min="10274" max="10274" width="8.140625" style="19" customWidth="1"/>
    <col min="10275" max="10275" width="8.7109375" style="19" customWidth="1"/>
    <col min="10276" max="10496" width="11.42578125" style="19"/>
    <col min="10497" max="10497" width="3" style="19" customWidth="1"/>
    <col min="10498" max="10498" width="9.28515625" style="19" customWidth="1"/>
    <col min="10499" max="10499" width="3.7109375" style="19" customWidth="1"/>
    <col min="10500" max="10500" width="4.7109375" style="19" customWidth="1"/>
    <col min="10501" max="10501" width="1.7109375" style="19" customWidth="1"/>
    <col min="10502" max="10504" width="5.7109375" style="19" customWidth="1"/>
    <col min="10505" max="10505" width="3.7109375" style="19" customWidth="1"/>
    <col min="10506" max="10506" width="4.7109375" style="19" customWidth="1"/>
    <col min="10507" max="10507" width="5.7109375" style="19" customWidth="1"/>
    <col min="10508" max="10508" width="6.140625" style="19" customWidth="1"/>
    <col min="10509" max="10509" width="5.7109375" style="19" customWidth="1"/>
    <col min="10510" max="10510" width="0.85546875" style="19" customWidth="1"/>
    <col min="10511" max="10511" width="6.7109375" style="19" customWidth="1"/>
    <col min="10512" max="10512" width="5.7109375" style="19" customWidth="1"/>
    <col min="10513" max="10513" width="6.42578125" style="19" customWidth="1"/>
    <col min="10514" max="10515" width="5.7109375" style="19" customWidth="1"/>
    <col min="10516" max="10520" width="27.7109375" style="19" customWidth="1"/>
    <col min="10521" max="10521" width="16.85546875" style="19" customWidth="1"/>
    <col min="10522" max="10522" width="10.42578125" style="19" customWidth="1"/>
    <col min="10523" max="10523" width="11" style="19" customWidth="1"/>
    <col min="10524" max="10524" width="10.85546875" style="19" customWidth="1"/>
    <col min="10525" max="10525" width="17.5703125" style="19" customWidth="1"/>
    <col min="10526" max="10526" width="9.7109375" style="19" customWidth="1"/>
    <col min="10527" max="10527" width="17.28515625" style="19" customWidth="1"/>
    <col min="10528" max="10528" width="10.42578125" style="19" customWidth="1"/>
    <col min="10529" max="10529" width="10.7109375" style="19" customWidth="1"/>
    <col min="10530" max="10530" width="8.140625" style="19" customWidth="1"/>
    <col min="10531" max="10531" width="8.7109375" style="19" customWidth="1"/>
    <col min="10532" max="10752" width="11.42578125" style="19"/>
    <col min="10753" max="10753" width="3" style="19" customWidth="1"/>
    <col min="10754" max="10754" width="9.28515625" style="19" customWidth="1"/>
    <col min="10755" max="10755" width="3.7109375" style="19" customWidth="1"/>
    <col min="10756" max="10756" width="4.7109375" style="19" customWidth="1"/>
    <col min="10757" max="10757" width="1.7109375" style="19" customWidth="1"/>
    <col min="10758" max="10760" width="5.7109375" style="19" customWidth="1"/>
    <col min="10761" max="10761" width="3.7109375" style="19" customWidth="1"/>
    <col min="10762" max="10762" width="4.7109375" style="19" customWidth="1"/>
    <col min="10763" max="10763" width="5.7109375" style="19" customWidth="1"/>
    <col min="10764" max="10764" width="6.140625" style="19" customWidth="1"/>
    <col min="10765" max="10765" width="5.7109375" style="19" customWidth="1"/>
    <col min="10766" max="10766" width="0.85546875" style="19" customWidth="1"/>
    <col min="10767" max="10767" width="6.7109375" style="19" customWidth="1"/>
    <col min="10768" max="10768" width="5.7109375" style="19" customWidth="1"/>
    <col min="10769" max="10769" width="6.42578125" style="19" customWidth="1"/>
    <col min="10770" max="10771" width="5.7109375" style="19" customWidth="1"/>
    <col min="10772" max="10776" width="27.7109375" style="19" customWidth="1"/>
    <col min="10777" max="10777" width="16.85546875" style="19" customWidth="1"/>
    <col min="10778" max="10778" width="10.42578125" style="19" customWidth="1"/>
    <col min="10779" max="10779" width="11" style="19" customWidth="1"/>
    <col min="10780" max="10780" width="10.85546875" style="19" customWidth="1"/>
    <col min="10781" max="10781" width="17.5703125" style="19" customWidth="1"/>
    <col min="10782" max="10782" width="9.7109375" style="19" customWidth="1"/>
    <col min="10783" max="10783" width="17.28515625" style="19" customWidth="1"/>
    <col min="10784" max="10784" width="10.42578125" style="19" customWidth="1"/>
    <col min="10785" max="10785" width="10.7109375" style="19" customWidth="1"/>
    <col min="10786" max="10786" width="8.140625" style="19" customWidth="1"/>
    <col min="10787" max="10787" width="8.7109375" style="19" customWidth="1"/>
    <col min="10788" max="11008" width="11.42578125" style="19"/>
    <col min="11009" max="11009" width="3" style="19" customWidth="1"/>
    <col min="11010" max="11010" width="9.28515625" style="19" customWidth="1"/>
    <col min="11011" max="11011" width="3.7109375" style="19" customWidth="1"/>
    <col min="11012" max="11012" width="4.7109375" style="19" customWidth="1"/>
    <col min="11013" max="11013" width="1.7109375" style="19" customWidth="1"/>
    <col min="11014" max="11016" width="5.7109375" style="19" customWidth="1"/>
    <col min="11017" max="11017" width="3.7109375" style="19" customWidth="1"/>
    <col min="11018" max="11018" width="4.7109375" style="19" customWidth="1"/>
    <col min="11019" max="11019" width="5.7109375" style="19" customWidth="1"/>
    <col min="11020" max="11020" width="6.140625" style="19" customWidth="1"/>
    <col min="11021" max="11021" width="5.7109375" style="19" customWidth="1"/>
    <col min="11022" max="11022" width="0.85546875" style="19" customWidth="1"/>
    <col min="11023" max="11023" width="6.7109375" style="19" customWidth="1"/>
    <col min="11024" max="11024" width="5.7109375" style="19" customWidth="1"/>
    <col min="11025" max="11025" width="6.42578125" style="19" customWidth="1"/>
    <col min="11026" max="11027" width="5.7109375" style="19" customWidth="1"/>
    <col min="11028" max="11032" width="27.7109375" style="19" customWidth="1"/>
    <col min="11033" max="11033" width="16.85546875" style="19" customWidth="1"/>
    <col min="11034" max="11034" width="10.42578125" style="19" customWidth="1"/>
    <col min="11035" max="11035" width="11" style="19" customWidth="1"/>
    <col min="11036" max="11036" width="10.85546875" style="19" customWidth="1"/>
    <col min="11037" max="11037" width="17.5703125" style="19" customWidth="1"/>
    <col min="11038" max="11038" width="9.7109375" style="19" customWidth="1"/>
    <col min="11039" max="11039" width="17.28515625" style="19" customWidth="1"/>
    <col min="11040" max="11040" width="10.42578125" style="19" customWidth="1"/>
    <col min="11041" max="11041" width="10.7109375" style="19" customWidth="1"/>
    <col min="11042" max="11042" width="8.140625" style="19" customWidth="1"/>
    <col min="11043" max="11043" width="8.7109375" style="19" customWidth="1"/>
    <col min="11044" max="11264" width="11.42578125" style="19"/>
    <col min="11265" max="11265" width="3" style="19" customWidth="1"/>
    <col min="11266" max="11266" width="9.28515625" style="19" customWidth="1"/>
    <col min="11267" max="11267" width="3.7109375" style="19" customWidth="1"/>
    <col min="11268" max="11268" width="4.7109375" style="19" customWidth="1"/>
    <col min="11269" max="11269" width="1.7109375" style="19" customWidth="1"/>
    <col min="11270" max="11272" width="5.7109375" style="19" customWidth="1"/>
    <col min="11273" max="11273" width="3.7109375" style="19" customWidth="1"/>
    <col min="11274" max="11274" width="4.7109375" style="19" customWidth="1"/>
    <col min="11275" max="11275" width="5.7109375" style="19" customWidth="1"/>
    <col min="11276" max="11276" width="6.140625" style="19" customWidth="1"/>
    <col min="11277" max="11277" width="5.7109375" style="19" customWidth="1"/>
    <col min="11278" max="11278" width="0.85546875" style="19" customWidth="1"/>
    <col min="11279" max="11279" width="6.7109375" style="19" customWidth="1"/>
    <col min="11280" max="11280" width="5.7109375" style="19" customWidth="1"/>
    <col min="11281" max="11281" width="6.42578125" style="19" customWidth="1"/>
    <col min="11282" max="11283" width="5.7109375" style="19" customWidth="1"/>
    <col min="11284" max="11288" width="27.7109375" style="19" customWidth="1"/>
    <col min="11289" max="11289" width="16.85546875" style="19" customWidth="1"/>
    <col min="11290" max="11290" width="10.42578125" style="19" customWidth="1"/>
    <col min="11291" max="11291" width="11" style="19" customWidth="1"/>
    <col min="11292" max="11292" width="10.85546875" style="19" customWidth="1"/>
    <col min="11293" max="11293" width="17.5703125" style="19" customWidth="1"/>
    <col min="11294" max="11294" width="9.7109375" style="19" customWidth="1"/>
    <col min="11295" max="11295" width="17.28515625" style="19" customWidth="1"/>
    <col min="11296" max="11296" width="10.42578125" style="19" customWidth="1"/>
    <col min="11297" max="11297" width="10.7109375" style="19" customWidth="1"/>
    <col min="11298" max="11298" width="8.140625" style="19" customWidth="1"/>
    <col min="11299" max="11299" width="8.7109375" style="19" customWidth="1"/>
    <col min="11300" max="11520" width="11.42578125" style="19"/>
    <col min="11521" max="11521" width="3" style="19" customWidth="1"/>
    <col min="11522" max="11522" width="9.28515625" style="19" customWidth="1"/>
    <col min="11523" max="11523" width="3.7109375" style="19" customWidth="1"/>
    <col min="11524" max="11524" width="4.7109375" style="19" customWidth="1"/>
    <col min="11525" max="11525" width="1.7109375" style="19" customWidth="1"/>
    <col min="11526" max="11528" width="5.7109375" style="19" customWidth="1"/>
    <col min="11529" max="11529" width="3.7109375" style="19" customWidth="1"/>
    <col min="11530" max="11530" width="4.7109375" style="19" customWidth="1"/>
    <col min="11531" max="11531" width="5.7109375" style="19" customWidth="1"/>
    <col min="11532" max="11532" width="6.140625" style="19" customWidth="1"/>
    <col min="11533" max="11533" width="5.7109375" style="19" customWidth="1"/>
    <col min="11534" max="11534" width="0.85546875" style="19" customWidth="1"/>
    <col min="11535" max="11535" width="6.7109375" style="19" customWidth="1"/>
    <col min="11536" max="11536" width="5.7109375" style="19" customWidth="1"/>
    <col min="11537" max="11537" width="6.42578125" style="19" customWidth="1"/>
    <col min="11538" max="11539" width="5.7109375" style="19" customWidth="1"/>
    <col min="11540" max="11544" width="27.7109375" style="19" customWidth="1"/>
    <col min="11545" max="11545" width="16.85546875" style="19" customWidth="1"/>
    <col min="11546" max="11546" width="10.42578125" style="19" customWidth="1"/>
    <col min="11547" max="11547" width="11" style="19" customWidth="1"/>
    <col min="11548" max="11548" width="10.85546875" style="19" customWidth="1"/>
    <col min="11549" max="11549" width="17.5703125" style="19" customWidth="1"/>
    <col min="11550" max="11550" width="9.7109375" style="19" customWidth="1"/>
    <col min="11551" max="11551" width="17.28515625" style="19" customWidth="1"/>
    <col min="11552" max="11552" width="10.42578125" style="19" customWidth="1"/>
    <col min="11553" max="11553" width="10.7109375" style="19" customWidth="1"/>
    <col min="11554" max="11554" width="8.140625" style="19" customWidth="1"/>
    <col min="11555" max="11555" width="8.7109375" style="19" customWidth="1"/>
    <col min="11556" max="11776" width="11.42578125" style="19"/>
    <col min="11777" max="11777" width="3" style="19" customWidth="1"/>
    <col min="11778" max="11778" width="9.28515625" style="19" customWidth="1"/>
    <col min="11779" max="11779" width="3.7109375" style="19" customWidth="1"/>
    <col min="11780" max="11780" width="4.7109375" style="19" customWidth="1"/>
    <col min="11781" max="11781" width="1.7109375" style="19" customWidth="1"/>
    <col min="11782" max="11784" width="5.7109375" style="19" customWidth="1"/>
    <col min="11785" max="11785" width="3.7109375" style="19" customWidth="1"/>
    <col min="11786" max="11786" width="4.7109375" style="19" customWidth="1"/>
    <col min="11787" max="11787" width="5.7109375" style="19" customWidth="1"/>
    <col min="11788" max="11788" width="6.140625" style="19" customWidth="1"/>
    <col min="11789" max="11789" width="5.7109375" style="19" customWidth="1"/>
    <col min="11790" max="11790" width="0.85546875" style="19" customWidth="1"/>
    <col min="11791" max="11791" width="6.7109375" style="19" customWidth="1"/>
    <col min="11792" max="11792" width="5.7109375" style="19" customWidth="1"/>
    <col min="11793" max="11793" width="6.42578125" style="19" customWidth="1"/>
    <col min="11794" max="11795" width="5.7109375" style="19" customWidth="1"/>
    <col min="11796" max="11800" width="27.7109375" style="19" customWidth="1"/>
    <col min="11801" max="11801" width="16.85546875" style="19" customWidth="1"/>
    <col min="11802" max="11802" width="10.42578125" style="19" customWidth="1"/>
    <col min="11803" max="11803" width="11" style="19" customWidth="1"/>
    <col min="11804" max="11804" width="10.85546875" style="19" customWidth="1"/>
    <col min="11805" max="11805" width="17.5703125" style="19" customWidth="1"/>
    <col min="11806" max="11806" width="9.7109375" style="19" customWidth="1"/>
    <col min="11807" max="11807" width="17.28515625" style="19" customWidth="1"/>
    <col min="11808" max="11808" width="10.42578125" style="19" customWidth="1"/>
    <col min="11809" max="11809" width="10.7109375" style="19" customWidth="1"/>
    <col min="11810" max="11810" width="8.140625" style="19" customWidth="1"/>
    <col min="11811" max="11811" width="8.7109375" style="19" customWidth="1"/>
    <col min="11812" max="12032" width="11.42578125" style="19"/>
    <col min="12033" max="12033" width="3" style="19" customWidth="1"/>
    <col min="12034" max="12034" width="9.28515625" style="19" customWidth="1"/>
    <col min="12035" max="12035" width="3.7109375" style="19" customWidth="1"/>
    <col min="12036" max="12036" width="4.7109375" style="19" customWidth="1"/>
    <col min="12037" max="12037" width="1.7109375" style="19" customWidth="1"/>
    <col min="12038" max="12040" width="5.7109375" style="19" customWidth="1"/>
    <col min="12041" max="12041" width="3.7109375" style="19" customWidth="1"/>
    <col min="12042" max="12042" width="4.7109375" style="19" customWidth="1"/>
    <col min="12043" max="12043" width="5.7109375" style="19" customWidth="1"/>
    <col min="12044" max="12044" width="6.140625" style="19" customWidth="1"/>
    <col min="12045" max="12045" width="5.7109375" style="19" customWidth="1"/>
    <col min="12046" max="12046" width="0.85546875" style="19" customWidth="1"/>
    <col min="12047" max="12047" width="6.7109375" style="19" customWidth="1"/>
    <col min="12048" max="12048" width="5.7109375" style="19" customWidth="1"/>
    <col min="12049" max="12049" width="6.42578125" style="19" customWidth="1"/>
    <col min="12050" max="12051" width="5.7109375" style="19" customWidth="1"/>
    <col min="12052" max="12056" width="27.7109375" style="19" customWidth="1"/>
    <col min="12057" max="12057" width="16.85546875" style="19" customWidth="1"/>
    <col min="12058" max="12058" width="10.42578125" style="19" customWidth="1"/>
    <col min="12059" max="12059" width="11" style="19" customWidth="1"/>
    <col min="12060" max="12060" width="10.85546875" style="19" customWidth="1"/>
    <col min="12061" max="12061" width="17.5703125" style="19" customWidth="1"/>
    <col min="12062" max="12062" width="9.7109375" style="19" customWidth="1"/>
    <col min="12063" max="12063" width="17.28515625" style="19" customWidth="1"/>
    <col min="12064" max="12064" width="10.42578125" style="19" customWidth="1"/>
    <col min="12065" max="12065" width="10.7109375" style="19" customWidth="1"/>
    <col min="12066" max="12066" width="8.140625" style="19" customWidth="1"/>
    <col min="12067" max="12067" width="8.7109375" style="19" customWidth="1"/>
    <col min="12068" max="12288" width="11.42578125" style="19"/>
    <col min="12289" max="12289" width="3" style="19" customWidth="1"/>
    <col min="12290" max="12290" width="9.28515625" style="19" customWidth="1"/>
    <col min="12291" max="12291" width="3.7109375" style="19" customWidth="1"/>
    <col min="12292" max="12292" width="4.7109375" style="19" customWidth="1"/>
    <col min="12293" max="12293" width="1.7109375" style="19" customWidth="1"/>
    <col min="12294" max="12296" width="5.7109375" style="19" customWidth="1"/>
    <col min="12297" max="12297" width="3.7109375" style="19" customWidth="1"/>
    <col min="12298" max="12298" width="4.7109375" style="19" customWidth="1"/>
    <col min="12299" max="12299" width="5.7109375" style="19" customWidth="1"/>
    <col min="12300" max="12300" width="6.140625" style="19" customWidth="1"/>
    <col min="12301" max="12301" width="5.7109375" style="19" customWidth="1"/>
    <col min="12302" max="12302" width="0.85546875" style="19" customWidth="1"/>
    <col min="12303" max="12303" width="6.7109375" style="19" customWidth="1"/>
    <col min="12304" max="12304" width="5.7109375" style="19" customWidth="1"/>
    <col min="12305" max="12305" width="6.42578125" style="19" customWidth="1"/>
    <col min="12306" max="12307" width="5.7109375" style="19" customWidth="1"/>
    <col min="12308" max="12312" width="27.7109375" style="19" customWidth="1"/>
    <col min="12313" max="12313" width="16.85546875" style="19" customWidth="1"/>
    <col min="12314" max="12314" width="10.42578125" style="19" customWidth="1"/>
    <col min="12315" max="12315" width="11" style="19" customWidth="1"/>
    <col min="12316" max="12316" width="10.85546875" style="19" customWidth="1"/>
    <col min="12317" max="12317" width="17.5703125" style="19" customWidth="1"/>
    <col min="12318" max="12318" width="9.7109375" style="19" customWidth="1"/>
    <col min="12319" max="12319" width="17.28515625" style="19" customWidth="1"/>
    <col min="12320" max="12320" width="10.42578125" style="19" customWidth="1"/>
    <col min="12321" max="12321" width="10.7109375" style="19" customWidth="1"/>
    <col min="12322" max="12322" width="8.140625" style="19" customWidth="1"/>
    <col min="12323" max="12323" width="8.7109375" style="19" customWidth="1"/>
    <col min="12324" max="12544" width="11.42578125" style="19"/>
    <col min="12545" max="12545" width="3" style="19" customWidth="1"/>
    <col min="12546" max="12546" width="9.28515625" style="19" customWidth="1"/>
    <col min="12547" max="12547" width="3.7109375" style="19" customWidth="1"/>
    <col min="12548" max="12548" width="4.7109375" style="19" customWidth="1"/>
    <col min="12549" max="12549" width="1.7109375" style="19" customWidth="1"/>
    <col min="12550" max="12552" width="5.7109375" style="19" customWidth="1"/>
    <col min="12553" max="12553" width="3.7109375" style="19" customWidth="1"/>
    <col min="12554" max="12554" width="4.7109375" style="19" customWidth="1"/>
    <col min="12555" max="12555" width="5.7109375" style="19" customWidth="1"/>
    <col min="12556" max="12556" width="6.140625" style="19" customWidth="1"/>
    <col min="12557" max="12557" width="5.7109375" style="19" customWidth="1"/>
    <col min="12558" max="12558" width="0.85546875" style="19" customWidth="1"/>
    <col min="12559" max="12559" width="6.7109375" style="19" customWidth="1"/>
    <col min="12560" max="12560" width="5.7109375" style="19" customWidth="1"/>
    <col min="12561" max="12561" width="6.42578125" style="19" customWidth="1"/>
    <col min="12562" max="12563" width="5.7109375" style="19" customWidth="1"/>
    <col min="12564" max="12568" width="27.7109375" style="19" customWidth="1"/>
    <col min="12569" max="12569" width="16.85546875" style="19" customWidth="1"/>
    <col min="12570" max="12570" width="10.42578125" style="19" customWidth="1"/>
    <col min="12571" max="12571" width="11" style="19" customWidth="1"/>
    <col min="12572" max="12572" width="10.85546875" style="19" customWidth="1"/>
    <col min="12573" max="12573" width="17.5703125" style="19" customWidth="1"/>
    <col min="12574" max="12574" width="9.7109375" style="19" customWidth="1"/>
    <col min="12575" max="12575" width="17.28515625" style="19" customWidth="1"/>
    <col min="12576" max="12576" width="10.42578125" style="19" customWidth="1"/>
    <col min="12577" max="12577" width="10.7109375" style="19" customWidth="1"/>
    <col min="12578" max="12578" width="8.140625" style="19" customWidth="1"/>
    <col min="12579" max="12579" width="8.7109375" style="19" customWidth="1"/>
    <col min="12580" max="12800" width="11.42578125" style="19"/>
    <col min="12801" max="12801" width="3" style="19" customWidth="1"/>
    <col min="12802" max="12802" width="9.28515625" style="19" customWidth="1"/>
    <col min="12803" max="12803" width="3.7109375" style="19" customWidth="1"/>
    <col min="12804" max="12804" width="4.7109375" style="19" customWidth="1"/>
    <col min="12805" max="12805" width="1.7109375" style="19" customWidth="1"/>
    <col min="12806" max="12808" width="5.7109375" style="19" customWidth="1"/>
    <col min="12809" max="12809" width="3.7109375" style="19" customWidth="1"/>
    <col min="12810" max="12810" width="4.7109375" style="19" customWidth="1"/>
    <col min="12811" max="12811" width="5.7109375" style="19" customWidth="1"/>
    <col min="12812" max="12812" width="6.140625" style="19" customWidth="1"/>
    <col min="12813" max="12813" width="5.7109375" style="19" customWidth="1"/>
    <col min="12814" max="12814" width="0.85546875" style="19" customWidth="1"/>
    <col min="12815" max="12815" width="6.7109375" style="19" customWidth="1"/>
    <col min="12816" max="12816" width="5.7109375" style="19" customWidth="1"/>
    <col min="12817" max="12817" width="6.42578125" style="19" customWidth="1"/>
    <col min="12818" max="12819" width="5.7109375" style="19" customWidth="1"/>
    <col min="12820" max="12824" width="27.7109375" style="19" customWidth="1"/>
    <col min="12825" max="12825" width="16.85546875" style="19" customWidth="1"/>
    <col min="12826" max="12826" width="10.42578125" style="19" customWidth="1"/>
    <col min="12827" max="12827" width="11" style="19" customWidth="1"/>
    <col min="12828" max="12828" width="10.85546875" style="19" customWidth="1"/>
    <col min="12829" max="12829" width="17.5703125" style="19" customWidth="1"/>
    <col min="12830" max="12830" width="9.7109375" style="19" customWidth="1"/>
    <col min="12831" max="12831" width="17.28515625" style="19" customWidth="1"/>
    <col min="12832" max="12832" width="10.42578125" style="19" customWidth="1"/>
    <col min="12833" max="12833" width="10.7109375" style="19" customWidth="1"/>
    <col min="12834" max="12834" width="8.140625" style="19" customWidth="1"/>
    <col min="12835" max="12835" width="8.7109375" style="19" customWidth="1"/>
    <col min="12836" max="13056" width="11.42578125" style="19"/>
    <col min="13057" max="13057" width="3" style="19" customWidth="1"/>
    <col min="13058" max="13058" width="9.28515625" style="19" customWidth="1"/>
    <col min="13059" max="13059" width="3.7109375" style="19" customWidth="1"/>
    <col min="13060" max="13060" width="4.7109375" style="19" customWidth="1"/>
    <col min="13061" max="13061" width="1.7109375" style="19" customWidth="1"/>
    <col min="13062" max="13064" width="5.7109375" style="19" customWidth="1"/>
    <col min="13065" max="13065" width="3.7109375" style="19" customWidth="1"/>
    <col min="13066" max="13066" width="4.7109375" style="19" customWidth="1"/>
    <col min="13067" max="13067" width="5.7109375" style="19" customWidth="1"/>
    <col min="13068" max="13068" width="6.140625" style="19" customWidth="1"/>
    <col min="13069" max="13069" width="5.7109375" style="19" customWidth="1"/>
    <col min="13070" max="13070" width="0.85546875" style="19" customWidth="1"/>
    <col min="13071" max="13071" width="6.7109375" style="19" customWidth="1"/>
    <col min="13072" max="13072" width="5.7109375" style="19" customWidth="1"/>
    <col min="13073" max="13073" width="6.42578125" style="19" customWidth="1"/>
    <col min="13074" max="13075" width="5.7109375" style="19" customWidth="1"/>
    <col min="13076" max="13080" width="27.7109375" style="19" customWidth="1"/>
    <col min="13081" max="13081" width="16.85546875" style="19" customWidth="1"/>
    <col min="13082" max="13082" width="10.42578125" style="19" customWidth="1"/>
    <col min="13083" max="13083" width="11" style="19" customWidth="1"/>
    <col min="13084" max="13084" width="10.85546875" style="19" customWidth="1"/>
    <col min="13085" max="13085" width="17.5703125" style="19" customWidth="1"/>
    <col min="13086" max="13086" width="9.7109375" style="19" customWidth="1"/>
    <col min="13087" max="13087" width="17.28515625" style="19" customWidth="1"/>
    <col min="13088" max="13088" width="10.42578125" style="19" customWidth="1"/>
    <col min="13089" max="13089" width="10.7109375" style="19" customWidth="1"/>
    <col min="13090" max="13090" width="8.140625" style="19" customWidth="1"/>
    <col min="13091" max="13091" width="8.7109375" style="19" customWidth="1"/>
    <col min="13092" max="13312" width="11.42578125" style="19"/>
    <col min="13313" max="13313" width="3" style="19" customWidth="1"/>
    <col min="13314" max="13314" width="9.28515625" style="19" customWidth="1"/>
    <col min="13315" max="13315" width="3.7109375" style="19" customWidth="1"/>
    <col min="13316" max="13316" width="4.7109375" style="19" customWidth="1"/>
    <col min="13317" max="13317" width="1.7109375" style="19" customWidth="1"/>
    <col min="13318" max="13320" width="5.7109375" style="19" customWidth="1"/>
    <col min="13321" max="13321" width="3.7109375" style="19" customWidth="1"/>
    <col min="13322" max="13322" width="4.7109375" style="19" customWidth="1"/>
    <col min="13323" max="13323" width="5.7109375" style="19" customWidth="1"/>
    <col min="13324" max="13324" width="6.140625" style="19" customWidth="1"/>
    <col min="13325" max="13325" width="5.7109375" style="19" customWidth="1"/>
    <col min="13326" max="13326" width="0.85546875" style="19" customWidth="1"/>
    <col min="13327" max="13327" width="6.7109375" style="19" customWidth="1"/>
    <col min="13328" max="13328" width="5.7109375" style="19" customWidth="1"/>
    <col min="13329" max="13329" width="6.42578125" style="19" customWidth="1"/>
    <col min="13330" max="13331" width="5.7109375" style="19" customWidth="1"/>
    <col min="13332" max="13336" width="27.7109375" style="19" customWidth="1"/>
    <col min="13337" max="13337" width="16.85546875" style="19" customWidth="1"/>
    <col min="13338" max="13338" width="10.42578125" style="19" customWidth="1"/>
    <col min="13339" max="13339" width="11" style="19" customWidth="1"/>
    <col min="13340" max="13340" width="10.85546875" style="19" customWidth="1"/>
    <col min="13341" max="13341" width="17.5703125" style="19" customWidth="1"/>
    <col min="13342" max="13342" width="9.7109375" style="19" customWidth="1"/>
    <col min="13343" max="13343" width="17.28515625" style="19" customWidth="1"/>
    <col min="13344" max="13344" width="10.42578125" style="19" customWidth="1"/>
    <col min="13345" max="13345" width="10.7109375" style="19" customWidth="1"/>
    <col min="13346" max="13346" width="8.140625" style="19" customWidth="1"/>
    <col min="13347" max="13347" width="8.7109375" style="19" customWidth="1"/>
    <col min="13348" max="13568" width="11.42578125" style="19"/>
    <col min="13569" max="13569" width="3" style="19" customWidth="1"/>
    <col min="13570" max="13570" width="9.28515625" style="19" customWidth="1"/>
    <col min="13571" max="13571" width="3.7109375" style="19" customWidth="1"/>
    <col min="13572" max="13572" width="4.7109375" style="19" customWidth="1"/>
    <col min="13573" max="13573" width="1.7109375" style="19" customWidth="1"/>
    <col min="13574" max="13576" width="5.7109375" style="19" customWidth="1"/>
    <col min="13577" max="13577" width="3.7109375" style="19" customWidth="1"/>
    <col min="13578" max="13578" width="4.7109375" style="19" customWidth="1"/>
    <col min="13579" max="13579" width="5.7109375" style="19" customWidth="1"/>
    <col min="13580" max="13580" width="6.140625" style="19" customWidth="1"/>
    <col min="13581" max="13581" width="5.7109375" style="19" customWidth="1"/>
    <col min="13582" max="13582" width="0.85546875" style="19" customWidth="1"/>
    <col min="13583" max="13583" width="6.7109375" style="19" customWidth="1"/>
    <col min="13584" max="13584" width="5.7109375" style="19" customWidth="1"/>
    <col min="13585" max="13585" width="6.42578125" style="19" customWidth="1"/>
    <col min="13586" max="13587" width="5.7109375" style="19" customWidth="1"/>
    <col min="13588" max="13592" width="27.7109375" style="19" customWidth="1"/>
    <col min="13593" max="13593" width="16.85546875" style="19" customWidth="1"/>
    <col min="13594" max="13594" width="10.42578125" style="19" customWidth="1"/>
    <col min="13595" max="13595" width="11" style="19" customWidth="1"/>
    <col min="13596" max="13596" width="10.85546875" style="19" customWidth="1"/>
    <col min="13597" max="13597" width="17.5703125" style="19" customWidth="1"/>
    <col min="13598" max="13598" width="9.7109375" style="19" customWidth="1"/>
    <col min="13599" max="13599" width="17.28515625" style="19" customWidth="1"/>
    <col min="13600" max="13600" width="10.42578125" style="19" customWidth="1"/>
    <col min="13601" max="13601" width="10.7109375" style="19" customWidth="1"/>
    <col min="13602" max="13602" width="8.140625" style="19" customWidth="1"/>
    <col min="13603" max="13603" width="8.7109375" style="19" customWidth="1"/>
    <col min="13604" max="13824" width="11.42578125" style="19"/>
    <col min="13825" max="13825" width="3" style="19" customWidth="1"/>
    <col min="13826" max="13826" width="9.28515625" style="19" customWidth="1"/>
    <col min="13827" max="13827" width="3.7109375" style="19" customWidth="1"/>
    <col min="13828" max="13828" width="4.7109375" style="19" customWidth="1"/>
    <col min="13829" max="13829" width="1.7109375" style="19" customWidth="1"/>
    <col min="13830" max="13832" width="5.7109375" style="19" customWidth="1"/>
    <col min="13833" max="13833" width="3.7109375" style="19" customWidth="1"/>
    <col min="13834" max="13834" width="4.7109375" style="19" customWidth="1"/>
    <col min="13835" max="13835" width="5.7109375" style="19" customWidth="1"/>
    <col min="13836" max="13836" width="6.140625" style="19" customWidth="1"/>
    <col min="13837" max="13837" width="5.7109375" style="19" customWidth="1"/>
    <col min="13838" max="13838" width="0.85546875" style="19" customWidth="1"/>
    <col min="13839" max="13839" width="6.7109375" style="19" customWidth="1"/>
    <col min="13840" max="13840" width="5.7109375" style="19" customWidth="1"/>
    <col min="13841" max="13841" width="6.42578125" style="19" customWidth="1"/>
    <col min="13842" max="13843" width="5.7109375" style="19" customWidth="1"/>
    <col min="13844" max="13848" width="27.7109375" style="19" customWidth="1"/>
    <col min="13849" max="13849" width="16.85546875" style="19" customWidth="1"/>
    <col min="13850" max="13850" width="10.42578125" style="19" customWidth="1"/>
    <col min="13851" max="13851" width="11" style="19" customWidth="1"/>
    <col min="13852" max="13852" width="10.85546875" style="19" customWidth="1"/>
    <col min="13853" max="13853" width="17.5703125" style="19" customWidth="1"/>
    <col min="13854" max="13854" width="9.7109375" style="19" customWidth="1"/>
    <col min="13855" max="13855" width="17.28515625" style="19" customWidth="1"/>
    <col min="13856" max="13856" width="10.42578125" style="19" customWidth="1"/>
    <col min="13857" max="13857" width="10.7109375" style="19" customWidth="1"/>
    <col min="13858" max="13858" width="8.140625" style="19" customWidth="1"/>
    <col min="13859" max="13859" width="8.7109375" style="19" customWidth="1"/>
    <col min="13860" max="14080" width="11.42578125" style="19"/>
    <col min="14081" max="14081" width="3" style="19" customWidth="1"/>
    <col min="14082" max="14082" width="9.28515625" style="19" customWidth="1"/>
    <col min="14083" max="14083" width="3.7109375" style="19" customWidth="1"/>
    <col min="14084" max="14084" width="4.7109375" style="19" customWidth="1"/>
    <col min="14085" max="14085" width="1.7109375" style="19" customWidth="1"/>
    <col min="14086" max="14088" width="5.7109375" style="19" customWidth="1"/>
    <col min="14089" max="14089" width="3.7109375" style="19" customWidth="1"/>
    <col min="14090" max="14090" width="4.7109375" style="19" customWidth="1"/>
    <col min="14091" max="14091" width="5.7109375" style="19" customWidth="1"/>
    <col min="14092" max="14092" width="6.140625" style="19" customWidth="1"/>
    <col min="14093" max="14093" width="5.7109375" style="19" customWidth="1"/>
    <col min="14094" max="14094" width="0.85546875" style="19" customWidth="1"/>
    <col min="14095" max="14095" width="6.7109375" style="19" customWidth="1"/>
    <col min="14096" max="14096" width="5.7109375" style="19" customWidth="1"/>
    <col min="14097" max="14097" width="6.42578125" style="19" customWidth="1"/>
    <col min="14098" max="14099" width="5.7109375" style="19" customWidth="1"/>
    <col min="14100" max="14104" width="27.7109375" style="19" customWidth="1"/>
    <col min="14105" max="14105" width="16.85546875" style="19" customWidth="1"/>
    <col min="14106" max="14106" width="10.42578125" style="19" customWidth="1"/>
    <col min="14107" max="14107" width="11" style="19" customWidth="1"/>
    <col min="14108" max="14108" width="10.85546875" style="19" customWidth="1"/>
    <col min="14109" max="14109" width="17.5703125" style="19" customWidth="1"/>
    <col min="14110" max="14110" width="9.7109375" style="19" customWidth="1"/>
    <col min="14111" max="14111" width="17.28515625" style="19" customWidth="1"/>
    <col min="14112" max="14112" width="10.42578125" style="19" customWidth="1"/>
    <col min="14113" max="14113" width="10.7109375" style="19" customWidth="1"/>
    <col min="14114" max="14114" width="8.140625" style="19" customWidth="1"/>
    <col min="14115" max="14115" width="8.7109375" style="19" customWidth="1"/>
    <col min="14116" max="14336" width="11.42578125" style="19"/>
    <col min="14337" max="14337" width="3" style="19" customWidth="1"/>
    <col min="14338" max="14338" width="9.28515625" style="19" customWidth="1"/>
    <col min="14339" max="14339" width="3.7109375" style="19" customWidth="1"/>
    <col min="14340" max="14340" width="4.7109375" style="19" customWidth="1"/>
    <col min="14341" max="14341" width="1.7109375" style="19" customWidth="1"/>
    <col min="14342" max="14344" width="5.7109375" style="19" customWidth="1"/>
    <col min="14345" max="14345" width="3.7109375" style="19" customWidth="1"/>
    <col min="14346" max="14346" width="4.7109375" style="19" customWidth="1"/>
    <col min="14347" max="14347" width="5.7109375" style="19" customWidth="1"/>
    <col min="14348" max="14348" width="6.140625" style="19" customWidth="1"/>
    <col min="14349" max="14349" width="5.7109375" style="19" customWidth="1"/>
    <col min="14350" max="14350" width="0.85546875" style="19" customWidth="1"/>
    <col min="14351" max="14351" width="6.7109375" style="19" customWidth="1"/>
    <col min="14352" max="14352" width="5.7109375" style="19" customWidth="1"/>
    <col min="14353" max="14353" width="6.42578125" style="19" customWidth="1"/>
    <col min="14354" max="14355" width="5.7109375" style="19" customWidth="1"/>
    <col min="14356" max="14360" width="27.7109375" style="19" customWidth="1"/>
    <col min="14361" max="14361" width="16.85546875" style="19" customWidth="1"/>
    <col min="14362" max="14362" width="10.42578125" style="19" customWidth="1"/>
    <col min="14363" max="14363" width="11" style="19" customWidth="1"/>
    <col min="14364" max="14364" width="10.85546875" style="19" customWidth="1"/>
    <col min="14365" max="14365" width="17.5703125" style="19" customWidth="1"/>
    <col min="14366" max="14366" width="9.7109375" style="19" customWidth="1"/>
    <col min="14367" max="14367" width="17.28515625" style="19" customWidth="1"/>
    <col min="14368" max="14368" width="10.42578125" style="19" customWidth="1"/>
    <col min="14369" max="14369" width="10.7109375" style="19" customWidth="1"/>
    <col min="14370" max="14370" width="8.140625" style="19" customWidth="1"/>
    <col min="14371" max="14371" width="8.7109375" style="19" customWidth="1"/>
    <col min="14372" max="14592" width="11.42578125" style="19"/>
    <col min="14593" max="14593" width="3" style="19" customWidth="1"/>
    <col min="14594" max="14594" width="9.28515625" style="19" customWidth="1"/>
    <col min="14595" max="14595" width="3.7109375" style="19" customWidth="1"/>
    <col min="14596" max="14596" width="4.7109375" style="19" customWidth="1"/>
    <col min="14597" max="14597" width="1.7109375" style="19" customWidth="1"/>
    <col min="14598" max="14600" width="5.7109375" style="19" customWidth="1"/>
    <col min="14601" max="14601" width="3.7109375" style="19" customWidth="1"/>
    <col min="14602" max="14602" width="4.7109375" style="19" customWidth="1"/>
    <col min="14603" max="14603" width="5.7109375" style="19" customWidth="1"/>
    <col min="14604" max="14604" width="6.140625" style="19" customWidth="1"/>
    <col min="14605" max="14605" width="5.7109375" style="19" customWidth="1"/>
    <col min="14606" max="14606" width="0.85546875" style="19" customWidth="1"/>
    <col min="14607" max="14607" width="6.7109375" style="19" customWidth="1"/>
    <col min="14608" max="14608" width="5.7109375" style="19" customWidth="1"/>
    <col min="14609" max="14609" width="6.42578125" style="19" customWidth="1"/>
    <col min="14610" max="14611" width="5.7109375" style="19" customWidth="1"/>
    <col min="14612" max="14616" width="27.7109375" style="19" customWidth="1"/>
    <col min="14617" max="14617" width="16.85546875" style="19" customWidth="1"/>
    <col min="14618" max="14618" width="10.42578125" style="19" customWidth="1"/>
    <col min="14619" max="14619" width="11" style="19" customWidth="1"/>
    <col min="14620" max="14620" width="10.85546875" style="19" customWidth="1"/>
    <col min="14621" max="14621" width="17.5703125" style="19" customWidth="1"/>
    <col min="14622" max="14622" width="9.7109375" style="19" customWidth="1"/>
    <col min="14623" max="14623" width="17.28515625" style="19" customWidth="1"/>
    <col min="14624" max="14624" width="10.42578125" style="19" customWidth="1"/>
    <col min="14625" max="14625" width="10.7109375" style="19" customWidth="1"/>
    <col min="14626" max="14626" width="8.140625" style="19" customWidth="1"/>
    <col min="14627" max="14627" width="8.7109375" style="19" customWidth="1"/>
    <col min="14628" max="14848" width="11.42578125" style="19"/>
    <col min="14849" max="14849" width="3" style="19" customWidth="1"/>
    <col min="14850" max="14850" width="9.28515625" style="19" customWidth="1"/>
    <col min="14851" max="14851" width="3.7109375" style="19" customWidth="1"/>
    <col min="14852" max="14852" width="4.7109375" style="19" customWidth="1"/>
    <col min="14853" max="14853" width="1.7109375" style="19" customWidth="1"/>
    <col min="14854" max="14856" width="5.7109375" style="19" customWidth="1"/>
    <col min="14857" max="14857" width="3.7109375" style="19" customWidth="1"/>
    <col min="14858" max="14858" width="4.7109375" style="19" customWidth="1"/>
    <col min="14859" max="14859" width="5.7109375" style="19" customWidth="1"/>
    <col min="14860" max="14860" width="6.140625" style="19" customWidth="1"/>
    <col min="14861" max="14861" width="5.7109375" style="19" customWidth="1"/>
    <col min="14862" max="14862" width="0.85546875" style="19" customWidth="1"/>
    <col min="14863" max="14863" width="6.7109375" style="19" customWidth="1"/>
    <col min="14864" max="14864" width="5.7109375" style="19" customWidth="1"/>
    <col min="14865" max="14865" width="6.42578125" style="19" customWidth="1"/>
    <col min="14866" max="14867" width="5.7109375" style="19" customWidth="1"/>
    <col min="14868" max="14872" width="27.7109375" style="19" customWidth="1"/>
    <col min="14873" max="14873" width="16.85546875" style="19" customWidth="1"/>
    <col min="14874" max="14874" width="10.42578125" style="19" customWidth="1"/>
    <col min="14875" max="14875" width="11" style="19" customWidth="1"/>
    <col min="14876" max="14876" width="10.85546875" style="19" customWidth="1"/>
    <col min="14877" max="14877" width="17.5703125" style="19" customWidth="1"/>
    <col min="14878" max="14878" width="9.7109375" style="19" customWidth="1"/>
    <col min="14879" max="14879" width="17.28515625" style="19" customWidth="1"/>
    <col min="14880" max="14880" width="10.42578125" style="19" customWidth="1"/>
    <col min="14881" max="14881" width="10.7109375" style="19" customWidth="1"/>
    <col min="14882" max="14882" width="8.140625" style="19" customWidth="1"/>
    <col min="14883" max="14883" width="8.7109375" style="19" customWidth="1"/>
    <col min="14884" max="15104" width="11.42578125" style="19"/>
    <col min="15105" max="15105" width="3" style="19" customWidth="1"/>
    <col min="15106" max="15106" width="9.28515625" style="19" customWidth="1"/>
    <col min="15107" max="15107" width="3.7109375" style="19" customWidth="1"/>
    <col min="15108" max="15108" width="4.7109375" style="19" customWidth="1"/>
    <col min="15109" max="15109" width="1.7109375" style="19" customWidth="1"/>
    <col min="15110" max="15112" width="5.7109375" style="19" customWidth="1"/>
    <col min="15113" max="15113" width="3.7109375" style="19" customWidth="1"/>
    <col min="15114" max="15114" width="4.7109375" style="19" customWidth="1"/>
    <col min="15115" max="15115" width="5.7109375" style="19" customWidth="1"/>
    <col min="15116" max="15116" width="6.140625" style="19" customWidth="1"/>
    <col min="15117" max="15117" width="5.7109375" style="19" customWidth="1"/>
    <col min="15118" max="15118" width="0.85546875" style="19" customWidth="1"/>
    <col min="15119" max="15119" width="6.7109375" style="19" customWidth="1"/>
    <col min="15120" max="15120" width="5.7109375" style="19" customWidth="1"/>
    <col min="15121" max="15121" width="6.42578125" style="19" customWidth="1"/>
    <col min="15122" max="15123" width="5.7109375" style="19" customWidth="1"/>
    <col min="15124" max="15128" width="27.7109375" style="19" customWidth="1"/>
    <col min="15129" max="15129" width="16.85546875" style="19" customWidth="1"/>
    <col min="15130" max="15130" width="10.42578125" style="19" customWidth="1"/>
    <col min="15131" max="15131" width="11" style="19" customWidth="1"/>
    <col min="15132" max="15132" width="10.85546875" style="19" customWidth="1"/>
    <col min="15133" max="15133" width="17.5703125" style="19" customWidth="1"/>
    <col min="15134" max="15134" width="9.7109375" style="19" customWidth="1"/>
    <col min="15135" max="15135" width="17.28515625" style="19" customWidth="1"/>
    <col min="15136" max="15136" width="10.42578125" style="19" customWidth="1"/>
    <col min="15137" max="15137" width="10.7109375" style="19" customWidth="1"/>
    <col min="15138" max="15138" width="8.140625" style="19" customWidth="1"/>
    <col min="15139" max="15139" width="8.7109375" style="19" customWidth="1"/>
    <col min="15140" max="15360" width="11.42578125" style="19"/>
    <col min="15361" max="15361" width="3" style="19" customWidth="1"/>
    <col min="15362" max="15362" width="9.28515625" style="19" customWidth="1"/>
    <col min="15363" max="15363" width="3.7109375" style="19" customWidth="1"/>
    <col min="15364" max="15364" width="4.7109375" style="19" customWidth="1"/>
    <col min="15365" max="15365" width="1.7109375" style="19" customWidth="1"/>
    <col min="15366" max="15368" width="5.7109375" style="19" customWidth="1"/>
    <col min="15369" max="15369" width="3.7109375" style="19" customWidth="1"/>
    <col min="15370" max="15370" width="4.7109375" style="19" customWidth="1"/>
    <col min="15371" max="15371" width="5.7109375" style="19" customWidth="1"/>
    <col min="15372" max="15372" width="6.140625" style="19" customWidth="1"/>
    <col min="15373" max="15373" width="5.7109375" style="19" customWidth="1"/>
    <col min="15374" max="15374" width="0.85546875" style="19" customWidth="1"/>
    <col min="15375" max="15375" width="6.7109375" style="19" customWidth="1"/>
    <col min="15376" max="15376" width="5.7109375" style="19" customWidth="1"/>
    <col min="15377" max="15377" width="6.42578125" style="19" customWidth="1"/>
    <col min="15378" max="15379" width="5.7109375" style="19" customWidth="1"/>
    <col min="15380" max="15384" width="27.7109375" style="19" customWidth="1"/>
    <col min="15385" max="15385" width="16.85546875" style="19" customWidth="1"/>
    <col min="15386" max="15386" width="10.42578125" style="19" customWidth="1"/>
    <col min="15387" max="15387" width="11" style="19" customWidth="1"/>
    <col min="15388" max="15388" width="10.85546875" style="19" customWidth="1"/>
    <col min="15389" max="15389" width="17.5703125" style="19" customWidth="1"/>
    <col min="15390" max="15390" width="9.7109375" style="19" customWidth="1"/>
    <col min="15391" max="15391" width="17.28515625" style="19" customWidth="1"/>
    <col min="15392" max="15392" width="10.42578125" style="19" customWidth="1"/>
    <col min="15393" max="15393" width="10.7109375" style="19" customWidth="1"/>
    <col min="15394" max="15394" width="8.140625" style="19" customWidth="1"/>
    <col min="15395" max="15395" width="8.7109375" style="19" customWidth="1"/>
    <col min="15396" max="15616" width="11.42578125" style="19"/>
    <col min="15617" max="15617" width="3" style="19" customWidth="1"/>
    <col min="15618" max="15618" width="9.28515625" style="19" customWidth="1"/>
    <col min="15619" max="15619" width="3.7109375" style="19" customWidth="1"/>
    <col min="15620" max="15620" width="4.7109375" style="19" customWidth="1"/>
    <col min="15621" max="15621" width="1.7109375" style="19" customWidth="1"/>
    <col min="15622" max="15624" width="5.7109375" style="19" customWidth="1"/>
    <col min="15625" max="15625" width="3.7109375" style="19" customWidth="1"/>
    <col min="15626" max="15626" width="4.7109375" style="19" customWidth="1"/>
    <col min="15627" max="15627" width="5.7109375" style="19" customWidth="1"/>
    <col min="15628" max="15628" width="6.140625" style="19" customWidth="1"/>
    <col min="15629" max="15629" width="5.7109375" style="19" customWidth="1"/>
    <col min="15630" max="15630" width="0.85546875" style="19" customWidth="1"/>
    <col min="15631" max="15631" width="6.7109375" style="19" customWidth="1"/>
    <col min="15632" max="15632" width="5.7109375" style="19" customWidth="1"/>
    <col min="15633" max="15633" width="6.42578125" style="19" customWidth="1"/>
    <col min="15634" max="15635" width="5.7109375" style="19" customWidth="1"/>
    <col min="15636" max="15640" width="27.7109375" style="19" customWidth="1"/>
    <col min="15641" max="15641" width="16.85546875" style="19" customWidth="1"/>
    <col min="15642" max="15642" width="10.42578125" style="19" customWidth="1"/>
    <col min="15643" max="15643" width="11" style="19" customWidth="1"/>
    <col min="15644" max="15644" width="10.85546875" style="19" customWidth="1"/>
    <col min="15645" max="15645" width="17.5703125" style="19" customWidth="1"/>
    <col min="15646" max="15646" width="9.7109375" style="19" customWidth="1"/>
    <col min="15647" max="15647" width="17.28515625" style="19" customWidth="1"/>
    <col min="15648" max="15648" width="10.42578125" style="19" customWidth="1"/>
    <col min="15649" max="15649" width="10.7109375" style="19" customWidth="1"/>
    <col min="15650" max="15650" width="8.140625" style="19" customWidth="1"/>
    <col min="15651" max="15651" width="8.7109375" style="19" customWidth="1"/>
    <col min="15652" max="15872" width="11.42578125" style="19"/>
    <col min="15873" max="15873" width="3" style="19" customWidth="1"/>
    <col min="15874" max="15874" width="9.28515625" style="19" customWidth="1"/>
    <col min="15875" max="15875" width="3.7109375" style="19" customWidth="1"/>
    <col min="15876" max="15876" width="4.7109375" style="19" customWidth="1"/>
    <col min="15877" max="15877" width="1.7109375" style="19" customWidth="1"/>
    <col min="15878" max="15880" width="5.7109375" style="19" customWidth="1"/>
    <col min="15881" max="15881" width="3.7109375" style="19" customWidth="1"/>
    <col min="15882" max="15882" width="4.7109375" style="19" customWidth="1"/>
    <col min="15883" max="15883" width="5.7109375" style="19" customWidth="1"/>
    <col min="15884" max="15884" width="6.140625" style="19" customWidth="1"/>
    <col min="15885" max="15885" width="5.7109375" style="19" customWidth="1"/>
    <col min="15886" max="15886" width="0.85546875" style="19" customWidth="1"/>
    <col min="15887" max="15887" width="6.7109375" style="19" customWidth="1"/>
    <col min="15888" max="15888" width="5.7109375" style="19" customWidth="1"/>
    <col min="15889" max="15889" width="6.42578125" style="19" customWidth="1"/>
    <col min="15890" max="15891" width="5.7109375" style="19" customWidth="1"/>
    <col min="15892" max="15896" width="27.7109375" style="19" customWidth="1"/>
    <col min="15897" max="15897" width="16.85546875" style="19" customWidth="1"/>
    <col min="15898" max="15898" width="10.42578125" style="19" customWidth="1"/>
    <col min="15899" max="15899" width="11" style="19" customWidth="1"/>
    <col min="15900" max="15900" width="10.85546875" style="19" customWidth="1"/>
    <col min="15901" max="15901" width="17.5703125" style="19" customWidth="1"/>
    <col min="15902" max="15902" width="9.7109375" style="19" customWidth="1"/>
    <col min="15903" max="15903" width="17.28515625" style="19" customWidth="1"/>
    <col min="15904" max="15904" width="10.42578125" style="19" customWidth="1"/>
    <col min="15905" max="15905" width="10.7109375" style="19" customWidth="1"/>
    <col min="15906" max="15906" width="8.140625" style="19" customWidth="1"/>
    <col min="15907" max="15907" width="8.7109375" style="19" customWidth="1"/>
    <col min="15908" max="16128" width="11.42578125" style="19"/>
    <col min="16129" max="16129" width="3" style="19" customWidth="1"/>
    <col min="16130" max="16130" width="9.28515625" style="19" customWidth="1"/>
    <col min="16131" max="16131" width="3.7109375" style="19" customWidth="1"/>
    <col min="16132" max="16132" width="4.7109375" style="19" customWidth="1"/>
    <col min="16133" max="16133" width="1.7109375" style="19" customWidth="1"/>
    <col min="16134" max="16136" width="5.7109375" style="19" customWidth="1"/>
    <col min="16137" max="16137" width="3.7109375" style="19" customWidth="1"/>
    <col min="16138" max="16138" width="4.7109375" style="19" customWidth="1"/>
    <col min="16139" max="16139" width="5.7109375" style="19" customWidth="1"/>
    <col min="16140" max="16140" width="6.140625" style="19" customWidth="1"/>
    <col min="16141" max="16141" width="5.7109375" style="19" customWidth="1"/>
    <col min="16142" max="16142" width="0.85546875" style="19" customWidth="1"/>
    <col min="16143" max="16143" width="6.7109375" style="19" customWidth="1"/>
    <col min="16144" max="16144" width="5.7109375" style="19" customWidth="1"/>
    <col min="16145" max="16145" width="6.42578125" style="19" customWidth="1"/>
    <col min="16146" max="16147" width="5.7109375" style="19" customWidth="1"/>
    <col min="16148" max="16152" width="27.7109375" style="19" customWidth="1"/>
    <col min="16153" max="16153" width="16.85546875" style="19" customWidth="1"/>
    <col min="16154" max="16154" width="10.42578125" style="19" customWidth="1"/>
    <col min="16155" max="16155" width="11" style="19" customWidth="1"/>
    <col min="16156" max="16156" width="10.85546875" style="19" customWidth="1"/>
    <col min="16157" max="16157" width="17.5703125" style="19" customWidth="1"/>
    <col min="16158" max="16158" width="9.7109375" style="19" customWidth="1"/>
    <col min="16159" max="16159" width="17.28515625" style="19" customWidth="1"/>
    <col min="16160" max="16160" width="10.42578125" style="19" customWidth="1"/>
    <col min="16161" max="16161" width="10.7109375" style="19" customWidth="1"/>
    <col min="16162" max="16162" width="8.140625" style="19" customWidth="1"/>
    <col min="16163" max="16163" width="8.7109375" style="19" customWidth="1"/>
    <col min="16164" max="16384" width="11.42578125" style="19"/>
  </cols>
  <sheetData>
    <row r="1" spans="1:34" ht="24.95" customHeight="1" x14ac:dyDescent="0.2">
      <c r="A1" s="15" t="s">
        <v>122</v>
      </c>
      <c r="B1" s="16"/>
      <c r="C1" s="16"/>
      <c r="D1" s="16"/>
      <c r="E1" s="16"/>
      <c r="F1" s="16"/>
      <c r="G1" s="16"/>
      <c r="H1" s="16"/>
      <c r="I1" s="17"/>
      <c r="J1" s="18"/>
      <c r="K1" s="16"/>
      <c r="L1" s="16"/>
      <c r="M1" s="16"/>
      <c r="N1" s="16"/>
      <c r="O1" s="16"/>
      <c r="P1" s="16"/>
      <c r="Q1" s="16"/>
      <c r="R1" s="16"/>
      <c r="S1" s="16"/>
    </row>
    <row r="2" spans="1:34" ht="5.0999999999999996" customHeight="1" x14ac:dyDescent="0.2"/>
    <row r="3" spans="1:34" x14ac:dyDescent="0.2">
      <c r="A3" s="21">
        <v>1</v>
      </c>
      <c r="B3" s="126"/>
      <c r="C3" s="21" t="str">
        <f t="shared" ref="C3:C52" si="0">IF(OR(B3&lt;$AF$8,B3&gt;$AF$9,B94=FALSE),"----","i.O.")</f>
        <v>----</v>
      </c>
      <c r="D3" s="21" t="str">
        <f t="shared" ref="D3:D52" si="1">IF(OR(B94=FALSE,AND(B3&gt;=$AF$8,B3&lt;=$AF$9)),"----","n.i.O.")</f>
        <v>----</v>
      </c>
      <c r="F3" s="22" t="s">
        <v>123</v>
      </c>
      <c r="J3" s="153" t="s">
        <v>131</v>
      </c>
      <c r="K3" s="154"/>
      <c r="L3" s="154"/>
      <c r="M3" s="154"/>
      <c r="N3" s="154"/>
      <c r="O3" s="154"/>
      <c r="P3" s="154"/>
      <c r="Q3" s="154"/>
      <c r="R3" s="154"/>
      <c r="S3" s="154"/>
    </row>
    <row r="4" spans="1:34" ht="13.5" customHeight="1" x14ac:dyDescent="0.2">
      <c r="A4" s="23">
        <v>2</v>
      </c>
      <c r="B4" s="126"/>
      <c r="C4" s="21" t="str">
        <f t="shared" si="0"/>
        <v>----</v>
      </c>
      <c r="D4" s="21" t="str">
        <f t="shared" si="1"/>
        <v>----</v>
      </c>
      <c r="F4" s="24" t="s">
        <v>124</v>
      </c>
      <c r="G4" s="24"/>
      <c r="H4" s="24"/>
      <c r="I4" s="24"/>
      <c r="J4" s="155">
        <v>0.99729999999999996</v>
      </c>
      <c r="K4" s="156"/>
      <c r="L4" s="25"/>
      <c r="M4" s="25"/>
      <c r="N4" s="119"/>
      <c r="O4" s="24" t="s">
        <v>125</v>
      </c>
      <c r="P4" s="24"/>
      <c r="Q4" s="157" t="s">
        <v>126</v>
      </c>
      <c r="R4" s="157"/>
      <c r="S4" s="157"/>
      <c r="Y4" s="26" t="s">
        <v>127</v>
      </c>
      <c r="Z4" s="27"/>
      <c r="AA4" s="27"/>
      <c r="AB4" s="27"/>
      <c r="AC4" s="27"/>
      <c r="AD4" s="27"/>
      <c r="AE4" s="27"/>
      <c r="AF4" s="27"/>
      <c r="AG4" s="27"/>
      <c r="AH4" s="28"/>
    </row>
    <row r="5" spans="1:34" ht="12.75" customHeight="1" x14ac:dyDescent="0.2">
      <c r="A5" s="23">
        <v>3</v>
      </c>
      <c r="B5" s="126"/>
      <c r="C5" s="21" t="str">
        <f t="shared" si="0"/>
        <v>----</v>
      </c>
      <c r="D5" s="21" t="str">
        <f t="shared" si="1"/>
        <v>----</v>
      </c>
      <c r="F5" s="22" t="s">
        <v>128</v>
      </c>
      <c r="G5" s="24"/>
      <c r="H5" s="24"/>
      <c r="I5" s="29"/>
      <c r="J5" s="158"/>
      <c r="K5" s="158"/>
      <c r="L5" s="30"/>
      <c r="M5" s="30"/>
      <c r="N5" s="120"/>
      <c r="O5" s="24" t="s">
        <v>129</v>
      </c>
      <c r="P5" s="24"/>
      <c r="R5" s="159"/>
      <c r="S5" s="159"/>
      <c r="V5" s="31"/>
      <c r="Y5" s="32"/>
      <c r="AH5" s="33"/>
    </row>
    <row r="6" spans="1:34" x14ac:dyDescent="0.2">
      <c r="A6" s="23">
        <v>4</v>
      </c>
      <c r="B6" s="126"/>
      <c r="C6" s="21" t="str">
        <f t="shared" si="0"/>
        <v>----</v>
      </c>
      <c r="D6" s="21" t="str">
        <f t="shared" si="1"/>
        <v>----</v>
      </c>
      <c r="F6" s="22" t="s">
        <v>130</v>
      </c>
      <c r="G6" s="24"/>
      <c r="H6" s="24"/>
      <c r="I6" s="24"/>
      <c r="J6" s="150" t="s">
        <v>131</v>
      </c>
      <c r="K6" s="150"/>
      <c r="L6" s="151"/>
      <c r="M6" s="151"/>
      <c r="N6" s="121"/>
      <c r="O6" s="24" t="s">
        <v>132</v>
      </c>
      <c r="P6" s="24"/>
      <c r="R6" s="152"/>
      <c r="S6" s="152"/>
      <c r="Y6" s="32" t="s">
        <v>10</v>
      </c>
      <c r="Z6" s="34">
        <f>R118</f>
        <v>0</v>
      </c>
      <c r="AB6" s="20" t="s">
        <v>11</v>
      </c>
      <c r="AC6" s="35" t="e">
        <f>R97/R112</f>
        <v>#DIV/0!</v>
      </c>
      <c r="AE6" s="20" t="s">
        <v>12</v>
      </c>
      <c r="AF6" s="20">
        <f>R11+(AF10/2)</f>
        <v>0</v>
      </c>
      <c r="AH6" s="33"/>
    </row>
    <row r="7" spans="1:34" x14ac:dyDescent="0.2">
      <c r="A7" s="23">
        <v>5</v>
      </c>
      <c r="B7" s="126"/>
      <c r="C7" s="21" t="str">
        <f t="shared" si="0"/>
        <v>----</v>
      </c>
      <c r="D7" s="21" t="str">
        <f t="shared" si="1"/>
        <v>----</v>
      </c>
      <c r="F7" s="22" t="s">
        <v>133</v>
      </c>
      <c r="G7" s="24"/>
      <c r="H7" s="24"/>
      <c r="I7" s="24"/>
      <c r="J7" s="150"/>
      <c r="K7" s="150"/>
      <c r="L7" s="150"/>
      <c r="M7" s="150"/>
      <c r="N7" s="121"/>
      <c r="O7" s="24" t="s">
        <v>134</v>
      </c>
      <c r="P7" s="24"/>
      <c r="R7" s="160" t="e">
        <f>IF(J7="not relevant","not relevant",IF(J7=" "," ",IF(AND(AB23&gt;0,AB23&lt;=5),"fulfill","not fulfill")))</f>
        <v>#DIV/0!</v>
      </c>
      <c r="S7" s="160"/>
      <c r="V7" s="37"/>
      <c r="Y7" s="32" t="s">
        <v>13</v>
      </c>
      <c r="Z7" s="34">
        <f>R123</f>
        <v>0</v>
      </c>
      <c r="AB7" s="20" t="s">
        <v>14</v>
      </c>
      <c r="AC7" s="20">
        <f>SQRT((R105/(R112-1)))</f>
        <v>0</v>
      </c>
      <c r="AE7" s="20" t="s">
        <v>15</v>
      </c>
      <c r="AF7" s="20">
        <f>AF10/(6*1.67)</f>
        <v>0</v>
      </c>
      <c r="AH7" s="33"/>
    </row>
    <row r="8" spans="1:34" x14ac:dyDescent="0.2">
      <c r="A8" s="23">
        <v>6</v>
      </c>
      <c r="B8" s="126"/>
      <c r="C8" s="21" t="str">
        <f t="shared" si="0"/>
        <v>----</v>
      </c>
      <c r="D8" s="21" t="str">
        <f t="shared" si="1"/>
        <v>----</v>
      </c>
      <c r="F8" s="22" t="s">
        <v>135</v>
      </c>
      <c r="G8" s="24"/>
      <c r="H8" s="24"/>
      <c r="I8" s="29"/>
      <c r="J8" s="161"/>
      <c r="K8" s="161"/>
      <c r="L8" s="161"/>
      <c r="M8" s="161"/>
      <c r="N8" s="122"/>
      <c r="O8" s="24" t="s">
        <v>136</v>
      </c>
      <c r="P8" s="24"/>
      <c r="R8" s="159"/>
      <c r="S8" s="159"/>
      <c r="U8" s="31"/>
      <c r="Y8" s="32" t="s">
        <v>17</v>
      </c>
      <c r="Z8" s="34">
        <f>Z6-Z7</f>
        <v>0</v>
      </c>
      <c r="AB8" s="20" t="s">
        <v>8</v>
      </c>
      <c r="AC8" s="35">
        <f>R5</f>
        <v>0</v>
      </c>
      <c r="AE8" s="20" t="s">
        <v>18</v>
      </c>
      <c r="AF8" s="35">
        <f>R11</f>
        <v>0</v>
      </c>
      <c r="AH8" s="33"/>
    </row>
    <row r="9" spans="1:34" x14ac:dyDescent="0.2">
      <c r="A9" s="23">
        <v>7</v>
      </c>
      <c r="B9" s="126"/>
      <c r="C9" s="21" t="str">
        <f t="shared" si="0"/>
        <v>----</v>
      </c>
      <c r="D9" s="21" t="str">
        <f t="shared" si="1"/>
        <v>----</v>
      </c>
      <c r="F9" s="22" t="s">
        <v>137</v>
      </c>
      <c r="G9" s="24"/>
      <c r="H9" s="24"/>
      <c r="I9" s="38"/>
      <c r="J9" s="162"/>
      <c r="K9" s="162"/>
      <c r="L9" s="162"/>
      <c r="M9" s="162"/>
      <c r="N9" s="123"/>
      <c r="O9" s="24" t="s">
        <v>138</v>
      </c>
      <c r="P9" s="24"/>
      <c r="R9" s="159"/>
      <c r="S9" s="159"/>
      <c r="V9" s="31"/>
      <c r="Y9" s="32"/>
      <c r="AE9" s="20" t="s">
        <v>20</v>
      </c>
      <c r="AF9" s="35">
        <f>R10</f>
        <v>0</v>
      </c>
      <c r="AH9" s="33"/>
    </row>
    <row r="10" spans="1:34" x14ac:dyDescent="0.2">
      <c r="A10" s="23">
        <v>8</v>
      </c>
      <c r="B10" s="126"/>
      <c r="C10" s="21" t="str">
        <f t="shared" si="0"/>
        <v>----</v>
      </c>
      <c r="D10" s="21" t="str">
        <f t="shared" si="1"/>
        <v>----</v>
      </c>
      <c r="F10" s="22" t="s">
        <v>139</v>
      </c>
      <c r="G10" s="24"/>
      <c r="H10" s="24"/>
      <c r="I10" s="24"/>
      <c r="J10" s="166"/>
      <c r="K10" s="166"/>
      <c r="L10" s="166"/>
      <c r="M10" s="166"/>
      <c r="N10" s="123"/>
      <c r="O10" s="39" t="str">
        <f>IF(Q4=Y45,AA50,AA48)</f>
        <v>upper limit (+ 0,10*T)</v>
      </c>
      <c r="P10" s="24"/>
      <c r="R10" s="167">
        <f>IF(Q4=Y45,AG46,AF48)</f>
        <v>0</v>
      </c>
      <c r="S10" s="167"/>
      <c r="V10" s="31"/>
      <c r="Y10" s="32" t="s">
        <v>21</v>
      </c>
      <c r="Z10" s="40">
        <f>R8</f>
        <v>0</v>
      </c>
      <c r="AA10" s="20" t="s">
        <v>22</v>
      </c>
      <c r="AC10" s="41" t="e">
        <f>AC6-AC8</f>
        <v>#DIV/0!</v>
      </c>
      <c r="AE10" s="20" t="s">
        <v>23</v>
      </c>
      <c r="AF10" s="35">
        <f>(R10-R11)</f>
        <v>0</v>
      </c>
      <c r="AH10" s="33"/>
    </row>
    <row r="11" spans="1:34" x14ac:dyDescent="0.2">
      <c r="A11" s="23">
        <v>9</v>
      </c>
      <c r="B11" s="126"/>
      <c r="C11" s="21" t="str">
        <f t="shared" si="0"/>
        <v>----</v>
      </c>
      <c r="D11" s="21" t="str">
        <f t="shared" si="1"/>
        <v>----</v>
      </c>
      <c r="F11" s="22" t="s">
        <v>140</v>
      </c>
      <c r="G11" s="24"/>
      <c r="H11" s="24"/>
      <c r="I11" s="29"/>
      <c r="J11" s="168"/>
      <c r="K11" s="169"/>
      <c r="L11" s="169"/>
      <c r="M11" s="169"/>
      <c r="N11" s="124"/>
      <c r="O11" s="39" t="str">
        <f>IF(Q4=Y45,AA51,AA49)</f>
        <v>lower limit (- 0,10*T)</v>
      </c>
      <c r="P11" s="24"/>
      <c r="R11" s="167">
        <f>IF(Q4=Y45,AG47,AF49)</f>
        <v>0</v>
      </c>
      <c r="S11" s="167"/>
      <c r="V11" s="31"/>
      <c r="Y11" s="32" t="s">
        <v>24</v>
      </c>
      <c r="Z11" s="40">
        <f>R9</f>
        <v>0</v>
      </c>
      <c r="AE11" s="42" t="s">
        <v>25</v>
      </c>
      <c r="AF11" s="20">
        <f>AB43*Z17</f>
        <v>0</v>
      </c>
      <c r="AH11" s="33"/>
    </row>
    <row r="12" spans="1:34" x14ac:dyDescent="0.2">
      <c r="A12" s="23">
        <v>10</v>
      </c>
      <c r="B12" s="126"/>
      <c r="C12" s="21" t="str">
        <f t="shared" si="0"/>
        <v>----</v>
      </c>
      <c r="D12" s="21" t="str">
        <f t="shared" si="1"/>
        <v>----</v>
      </c>
      <c r="F12" s="22" t="s">
        <v>141</v>
      </c>
      <c r="G12" s="24"/>
      <c r="H12" s="24"/>
      <c r="I12" s="29"/>
      <c r="J12" s="169"/>
      <c r="K12" s="169"/>
      <c r="L12" s="169"/>
      <c r="M12" s="169"/>
      <c r="N12" s="124"/>
      <c r="O12" s="29" t="s">
        <v>142</v>
      </c>
      <c r="P12" s="24"/>
      <c r="Q12" s="43"/>
      <c r="R12" s="170"/>
      <c r="S12" s="170"/>
      <c r="Y12" s="44" t="s">
        <v>26</v>
      </c>
      <c r="Z12" s="45">
        <f>Z10-Z11</f>
        <v>0</v>
      </c>
      <c r="AA12" s="46"/>
      <c r="AB12" s="46"/>
      <c r="AC12" s="46"/>
      <c r="AD12" s="46"/>
      <c r="AE12" s="47" t="s">
        <v>27</v>
      </c>
      <c r="AF12" s="46">
        <f>AF11/2</f>
        <v>0</v>
      </c>
      <c r="AG12" s="46"/>
      <c r="AH12" s="48"/>
    </row>
    <row r="13" spans="1:34" ht="12" customHeight="1" x14ac:dyDescent="0.2">
      <c r="A13" s="23">
        <v>11</v>
      </c>
      <c r="B13" s="126"/>
      <c r="C13" s="21" t="str">
        <f t="shared" si="0"/>
        <v>----</v>
      </c>
      <c r="D13" s="21" t="str">
        <f t="shared" si="1"/>
        <v>----</v>
      </c>
      <c r="F13" s="22" t="s">
        <v>143</v>
      </c>
      <c r="G13" s="24"/>
      <c r="H13" s="24"/>
      <c r="I13" s="29"/>
      <c r="J13" s="169"/>
      <c r="K13" s="169"/>
      <c r="L13" s="169"/>
      <c r="M13" s="169"/>
      <c r="N13" s="124"/>
      <c r="O13" s="29" t="s">
        <v>144</v>
      </c>
      <c r="P13" s="171"/>
      <c r="Q13" s="171"/>
      <c r="R13" s="171"/>
      <c r="S13" s="171"/>
    </row>
    <row r="14" spans="1:34" x14ac:dyDescent="0.2">
      <c r="A14" s="23">
        <v>12</v>
      </c>
      <c r="B14" s="126"/>
      <c r="C14" s="21" t="str">
        <f t="shared" si="0"/>
        <v>----</v>
      </c>
      <c r="D14" s="21" t="str">
        <f t="shared" si="1"/>
        <v>----</v>
      </c>
      <c r="E14" s="49"/>
      <c r="J14" s="125"/>
      <c r="P14" s="36"/>
    </row>
    <row r="15" spans="1:34" x14ac:dyDescent="0.2">
      <c r="A15" s="23">
        <v>13</v>
      </c>
      <c r="B15" s="126"/>
      <c r="C15" s="21" t="str">
        <f t="shared" si="0"/>
        <v>----</v>
      </c>
      <c r="D15" s="21" t="str">
        <f t="shared" si="1"/>
        <v>----</v>
      </c>
      <c r="P15" s="36"/>
      <c r="Y15" s="26" t="s">
        <v>28</v>
      </c>
      <c r="Z15" s="27"/>
      <c r="AA15" s="27"/>
      <c r="AB15" s="27"/>
      <c r="AC15" s="27"/>
      <c r="AD15" s="27" t="s">
        <v>29</v>
      </c>
      <c r="AE15" s="27">
        <f>AB43</f>
        <v>1.33</v>
      </c>
      <c r="AF15" s="27"/>
      <c r="AG15" s="27"/>
      <c r="AH15" s="28"/>
    </row>
    <row r="16" spans="1:34" x14ac:dyDescent="0.2">
      <c r="A16" s="23">
        <v>14</v>
      </c>
      <c r="B16" s="126"/>
      <c r="C16" s="21" t="str">
        <f t="shared" si="0"/>
        <v>----</v>
      </c>
      <c r="D16" s="21" t="str">
        <f t="shared" si="1"/>
        <v>----</v>
      </c>
      <c r="W16" s="50"/>
      <c r="Y16" s="32" t="s">
        <v>30</v>
      </c>
      <c r="Z16" s="51">
        <f>4*AC7</f>
        <v>0</v>
      </c>
      <c r="AD16" s="20" t="s">
        <v>31</v>
      </c>
      <c r="AE16" s="34">
        <f>AC43</f>
        <v>1.33</v>
      </c>
      <c r="AH16" s="33"/>
    </row>
    <row r="17" spans="1:34" x14ac:dyDescent="0.2">
      <c r="A17" s="23">
        <v>15</v>
      </c>
      <c r="B17" s="126"/>
      <c r="C17" s="21" t="str">
        <f t="shared" si="0"/>
        <v>----</v>
      </c>
      <c r="D17" s="21" t="str">
        <f t="shared" si="1"/>
        <v>----</v>
      </c>
      <c r="R17" s="52" t="s">
        <v>32</v>
      </c>
      <c r="S17" s="53" t="e">
        <f t="shared" ref="S17:S29" si="2">Z27</f>
        <v>#DIV/0!</v>
      </c>
      <c r="T17" s="54"/>
      <c r="Y17" s="32" t="s">
        <v>33</v>
      </c>
      <c r="Z17" s="51">
        <f>6*AC7</f>
        <v>0</v>
      </c>
      <c r="AA17" s="20" t="s">
        <v>34</v>
      </c>
      <c r="AB17" s="35" t="e">
        <f>AF9-AC6</f>
        <v>#DIV/0!</v>
      </c>
      <c r="AD17" s="20" t="s">
        <v>35</v>
      </c>
      <c r="AE17" s="20">
        <f>IF(AC7=0,0,IF($J$4=Y50,AF10/Z16,AF10/Z17))</f>
        <v>0</v>
      </c>
      <c r="AG17" s="20" t="s">
        <v>36</v>
      </c>
      <c r="AH17" s="33" t="str">
        <f>IF(AE17&lt;AE15,"not capable","capable")</f>
        <v>not capable</v>
      </c>
    </row>
    <row r="18" spans="1:34" x14ac:dyDescent="0.2">
      <c r="A18" s="23">
        <v>16</v>
      </c>
      <c r="B18" s="126"/>
      <c r="C18" s="21" t="str">
        <f t="shared" si="0"/>
        <v>----</v>
      </c>
      <c r="D18" s="21" t="str">
        <f t="shared" si="1"/>
        <v>----</v>
      </c>
      <c r="R18" s="23" t="s">
        <v>37</v>
      </c>
      <c r="S18" s="55" t="e">
        <f t="shared" si="2"/>
        <v>#DIV/0!</v>
      </c>
      <c r="Y18" s="32" t="s">
        <v>38</v>
      </c>
      <c r="Z18" s="51">
        <f>3*AC7</f>
        <v>0</v>
      </c>
      <c r="AA18" s="20" t="s">
        <v>39</v>
      </c>
      <c r="AB18" s="35" t="e">
        <f>AC6-AF8</f>
        <v>#DIV/0!</v>
      </c>
      <c r="AD18" s="20" t="s">
        <v>40</v>
      </c>
      <c r="AE18" s="20">
        <f>IF(AC7=0,0,IF($J$4=Y50,AB17/Z19,AB17/Z18))</f>
        <v>0</v>
      </c>
      <c r="AG18" s="20" t="s">
        <v>41</v>
      </c>
      <c r="AH18" s="33" t="str">
        <f>IF(AE18&lt;AE16,"not capable","capable")</f>
        <v>not capable</v>
      </c>
    </row>
    <row r="19" spans="1:34" ht="13.5" customHeight="1" x14ac:dyDescent="0.2">
      <c r="A19" s="23">
        <v>17</v>
      </c>
      <c r="B19" s="126"/>
      <c r="C19" s="21" t="str">
        <f t="shared" si="0"/>
        <v>----</v>
      </c>
      <c r="D19" s="21" t="str">
        <f t="shared" si="1"/>
        <v>----</v>
      </c>
      <c r="R19" s="23" t="s">
        <v>42</v>
      </c>
      <c r="S19" s="55" t="e">
        <f t="shared" si="2"/>
        <v>#DIV/0!</v>
      </c>
      <c r="Y19" s="32" t="s">
        <v>43</v>
      </c>
      <c r="Z19" s="51">
        <f>2*AC7</f>
        <v>0</v>
      </c>
      <c r="AD19" s="20" t="s">
        <v>44</v>
      </c>
      <c r="AE19" s="20">
        <f>IF(AC7=0,0,IF($J$4=Y50,AB18/Z19,AB18/Z18))</f>
        <v>0</v>
      </c>
      <c r="AG19" s="20" t="s">
        <v>45</v>
      </c>
      <c r="AH19" s="33" t="str">
        <f>IF(AE19&lt;AE16,"not capable","capable")</f>
        <v>not capable</v>
      </c>
    </row>
    <row r="20" spans="1:34" x14ac:dyDescent="0.2">
      <c r="A20" s="23">
        <v>18</v>
      </c>
      <c r="B20" s="126"/>
      <c r="C20" s="21" t="str">
        <f t="shared" si="0"/>
        <v>----</v>
      </c>
      <c r="D20" s="21" t="str">
        <f t="shared" si="1"/>
        <v>----</v>
      </c>
      <c r="R20" s="23" t="s">
        <v>46</v>
      </c>
      <c r="S20" s="55" t="e">
        <f t="shared" si="2"/>
        <v>#DIV/0!</v>
      </c>
      <c r="Y20" s="32" t="s">
        <v>47</v>
      </c>
      <c r="Z20" s="20" t="str">
        <f>IF(OR(AE17&lt;AE15,AE18&lt;AE16,AE19&lt;AE16),"not capable","capable")</f>
        <v>not capable</v>
      </c>
      <c r="AE20" s="20" t="str">
        <f>IF(OR(AE18&lt;AE16,AE19&lt;AE16),"not capable","capable")</f>
        <v>not capable</v>
      </c>
      <c r="AH20" s="33"/>
    </row>
    <row r="21" spans="1:34" x14ac:dyDescent="0.2">
      <c r="A21" s="23">
        <v>19</v>
      </c>
      <c r="B21" s="126"/>
      <c r="C21" s="21" t="str">
        <f t="shared" si="0"/>
        <v>----</v>
      </c>
      <c r="D21" s="21" t="str">
        <f t="shared" si="1"/>
        <v>----</v>
      </c>
      <c r="R21" s="23" t="s">
        <v>48</v>
      </c>
      <c r="S21" s="55" t="e">
        <f t="shared" si="2"/>
        <v>#DIV/0!</v>
      </c>
      <c r="Y21" s="44" t="s">
        <v>49</v>
      </c>
      <c r="Z21" s="46"/>
      <c r="AA21" s="46"/>
      <c r="AB21" s="46" t="s">
        <v>50</v>
      </c>
      <c r="AC21" s="46"/>
      <c r="AD21" s="46"/>
      <c r="AE21" s="46">
        <f>IF(AE18&lt;AE19,AE18,AE19)</f>
        <v>0</v>
      </c>
      <c r="AF21" s="46"/>
      <c r="AG21" s="46"/>
      <c r="AH21" s="48"/>
    </row>
    <row r="22" spans="1:34" x14ac:dyDescent="0.2">
      <c r="A22" s="23">
        <v>20</v>
      </c>
      <c r="B22" s="126"/>
      <c r="C22" s="21" t="str">
        <f t="shared" si="0"/>
        <v>----</v>
      </c>
      <c r="D22" s="21" t="str">
        <f t="shared" si="1"/>
        <v>----</v>
      </c>
      <c r="R22" s="23" t="s">
        <v>51</v>
      </c>
      <c r="S22" s="55" t="e">
        <f t="shared" si="2"/>
        <v>#DIV/0!</v>
      </c>
    </row>
    <row r="23" spans="1:34" x14ac:dyDescent="0.2">
      <c r="A23" s="23">
        <v>21</v>
      </c>
      <c r="B23" s="126"/>
      <c r="C23" s="21" t="str">
        <f t="shared" si="0"/>
        <v>----</v>
      </c>
      <c r="D23" s="21" t="str">
        <f t="shared" si="1"/>
        <v>----</v>
      </c>
      <c r="R23" s="23" t="s">
        <v>52</v>
      </c>
      <c r="S23" s="55" t="e">
        <f t="shared" si="2"/>
        <v>#DIV/0!</v>
      </c>
      <c r="Y23" s="56" t="s">
        <v>53</v>
      </c>
      <c r="Z23" s="57">
        <f>R8-R9</f>
        <v>0</v>
      </c>
      <c r="AA23" s="58" t="s">
        <v>54</v>
      </c>
      <c r="AB23" s="58" t="e">
        <f>J7/Z23%</f>
        <v>#DIV/0!</v>
      </c>
      <c r="AC23" s="58" t="s">
        <v>55</v>
      </c>
      <c r="AD23" s="58"/>
      <c r="AE23" s="58"/>
      <c r="AF23" s="58"/>
      <c r="AG23" s="58"/>
      <c r="AH23" s="59"/>
    </row>
    <row r="24" spans="1:34" x14ac:dyDescent="0.2">
      <c r="A24" s="23">
        <v>22</v>
      </c>
      <c r="B24" s="126"/>
      <c r="C24" s="21" t="str">
        <f t="shared" si="0"/>
        <v>----</v>
      </c>
      <c r="D24" s="21" t="str">
        <f t="shared" si="1"/>
        <v>----</v>
      </c>
      <c r="R24" s="23" t="s">
        <v>56</v>
      </c>
      <c r="S24" s="55" t="e">
        <f t="shared" si="2"/>
        <v>#DIV/0!</v>
      </c>
    </row>
    <row r="25" spans="1:34" x14ac:dyDescent="0.2">
      <c r="A25" s="23">
        <v>23</v>
      </c>
      <c r="B25" s="126"/>
      <c r="C25" s="21" t="str">
        <f t="shared" si="0"/>
        <v>----</v>
      </c>
      <c r="D25" s="21" t="str">
        <f t="shared" si="1"/>
        <v>----</v>
      </c>
      <c r="R25" s="23" t="s">
        <v>57</v>
      </c>
      <c r="S25" s="55" t="e">
        <f t="shared" si="2"/>
        <v>#DIV/0!</v>
      </c>
      <c r="Y25" s="60" t="s">
        <v>58</v>
      </c>
      <c r="Z25" s="27"/>
      <c r="AA25" s="28"/>
      <c r="AC25" s="60" t="s">
        <v>59</v>
      </c>
      <c r="AD25" s="27"/>
      <c r="AE25" s="27"/>
      <c r="AF25" s="28"/>
    </row>
    <row r="26" spans="1:34" x14ac:dyDescent="0.2">
      <c r="A26" s="23">
        <v>24</v>
      </c>
      <c r="B26" s="126"/>
      <c r="C26" s="21" t="str">
        <f t="shared" si="0"/>
        <v>----</v>
      </c>
      <c r="D26" s="21" t="str">
        <f t="shared" si="1"/>
        <v>----</v>
      </c>
      <c r="R26" s="23" t="s">
        <v>60</v>
      </c>
      <c r="S26" s="55" t="e">
        <f t="shared" si="2"/>
        <v>#DIV/0!</v>
      </c>
      <c r="Y26" s="32"/>
      <c r="AA26" s="33"/>
      <c r="AC26" s="32"/>
      <c r="AD26" s="20" t="s">
        <v>61</v>
      </c>
      <c r="AE26" s="20" t="s">
        <v>62</v>
      </c>
      <c r="AF26" s="33"/>
    </row>
    <row r="27" spans="1:34" x14ac:dyDescent="0.2">
      <c r="A27" s="23">
        <v>25</v>
      </c>
      <c r="B27" s="126"/>
      <c r="C27" s="21" t="str">
        <f t="shared" si="0"/>
        <v>----</v>
      </c>
      <c r="D27" s="21" t="str">
        <f t="shared" si="1"/>
        <v>----</v>
      </c>
      <c r="R27" s="23" t="s">
        <v>63</v>
      </c>
      <c r="S27" s="55" t="e">
        <f t="shared" si="2"/>
        <v>#DIV/0!</v>
      </c>
      <c r="Y27" s="32" t="s">
        <v>32</v>
      </c>
      <c r="Z27" s="34" t="e">
        <f>IF($AC$7=0,$AC$6-6*$AF$7,$AC$6-6*$AC$7)</f>
        <v>#DIV/0!</v>
      </c>
      <c r="AA27" s="33" t="e">
        <f t="shared" ref="AA27:AA40" si="3">Z27-($AC$7/1000)</f>
        <v>#DIV/0!</v>
      </c>
      <c r="AC27" s="32"/>
      <c r="AF27" s="33"/>
    </row>
    <row r="28" spans="1:34" x14ac:dyDescent="0.2">
      <c r="A28" s="23">
        <v>26</v>
      </c>
      <c r="B28" s="126"/>
      <c r="C28" s="21" t="str">
        <f t="shared" si="0"/>
        <v>----</v>
      </c>
      <c r="D28" s="21" t="str">
        <f t="shared" si="1"/>
        <v>----</v>
      </c>
      <c r="R28" s="23" t="s">
        <v>64</v>
      </c>
      <c r="S28" s="55" t="e">
        <f t="shared" si="2"/>
        <v>#DIV/0!</v>
      </c>
      <c r="Y28" s="32" t="s">
        <v>37</v>
      </c>
      <c r="Z28" s="34" t="e">
        <f>IF($AC$7=0,$AC$6-5*$AF$7,$AC$6-5*$AC$7)</f>
        <v>#DIV/0!</v>
      </c>
      <c r="AA28" s="33" t="e">
        <f t="shared" si="3"/>
        <v>#DIV/0!</v>
      </c>
      <c r="AC28" s="32" t="s">
        <v>32</v>
      </c>
      <c r="AD28" s="20">
        <f t="shared" ref="AD28:AD39" si="4">AE28-AE27</f>
        <v>0</v>
      </c>
      <c r="AE28" s="20">
        <f t="shared" ref="AE28:AE40" si="5">FREQUENCY($B$3:$B$52,AA28)</f>
        <v>0</v>
      </c>
      <c r="AF28" s="33"/>
    </row>
    <row r="29" spans="1:34" x14ac:dyDescent="0.2">
      <c r="A29" s="23">
        <v>27</v>
      </c>
      <c r="B29" s="126"/>
      <c r="C29" s="21" t="str">
        <f t="shared" si="0"/>
        <v>----</v>
      </c>
      <c r="D29" s="21" t="str">
        <f t="shared" si="1"/>
        <v>----</v>
      </c>
      <c r="R29" s="61" t="s">
        <v>65</v>
      </c>
      <c r="S29" s="62" t="e">
        <f t="shared" si="2"/>
        <v>#DIV/0!</v>
      </c>
      <c r="Y29" s="32" t="s">
        <v>42</v>
      </c>
      <c r="Z29" s="34" t="e">
        <f>IF($AC$7=0,$AC$6-4*$AF$7,$AC$6-4*$AC$7)</f>
        <v>#DIV/0!</v>
      </c>
      <c r="AA29" s="33" t="e">
        <f t="shared" si="3"/>
        <v>#DIV/0!</v>
      </c>
      <c r="AC29" s="32" t="s">
        <v>37</v>
      </c>
      <c r="AD29" s="20">
        <f t="shared" si="4"/>
        <v>0</v>
      </c>
      <c r="AE29" s="20">
        <f t="shared" si="5"/>
        <v>0</v>
      </c>
      <c r="AF29" s="33"/>
    </row>
    <row r="30" spans="1:34" x14ac:dyDescent="0.2">
      <c r="A30" s="23">
        <v>28</v>
      </c>
      <c r="B30" s="126"/>
      <c r="C30" s="21" t="str">
        <f t="shared" si="0"/>
        <v>----</v>
      </c>
      <c r="D30" s="21" t="str">
        <f t="shared" si="1"/>
        <v>----</v>
      </c>
      <c r="Y30" s="32" t="s">
        <v>46</v>
      </c>
      <c r="Z30" s="34" t="e">
        <f>IF($AC$7=0,$AC$6-3*$AF$7,$AC$6-3*$AC$7)</f>
        <v>#DIV/0!</v>
      </c>
      <c r="AA30" s="33" t="e">
        <f t="shared" si="3"/>
        <v>#DIV/0!</v>
      </c>
      <c r="AC30" s="32" t="s">
        <v>42</v>
      </c>
      <c r="AD30" s="20">
        <f t="shared" si="4"/>
        <v>0</v>
      </c>
      <c r="AE30" s="20">
        <f t="shared" si="5"/>
        <v>0</v>
      </c>
      <c r="AF30" s="33"/>
    </row>
    <row r="31" spans="1:34" x14ac:dyDescent="0.2">
      <c r="A31" s="23">
        <v>29</v>
      </c>
      <c r="B31" s="126"/>
      <c r="C31" s="21" t="str">
        <f t="shared" si="0"/>
        <v>----</v>
      </c>
      <c r="D31" s="21" t="str">
        <f t="shared" si="1"/>
        <v>----</v>
      </c>
      <c r="Y31" s="32" t="s">
        <v>48</v>
      </c>
      <c r="Z31" s="34" t="e">
        <f>IF($AC$7=0,$AC$6-2*$AF$7,$AC$6-2*$AC$7)</f>
        <v>#DIV/0!</v>
      </c>
      <c r="AA31" s="33" t="e">
        <f t="shared" si="3"/>
        <v>#DIV/0!</v>
      </c>
      <c r="AC31" s="32" t="s">
        <v>46</v>
      </c>
      <c r="AD31" s="20">
        <f t="shared" si="4"/>
        <v>0</v>
      </c>
      <c r="AE31" s="20">
        <f t="shared" si="5"/>
        <v>0</v>
      </c>
      <c r="AF31" s="33"/>
    </row>
    <row r="32" spans="1:34" x14ac:dyDescent="0.2">
      <c r="A32" s="23">
        <v>30</v>
      </c>
      <c r="B32" s="126"/>
      <c r="C32" s="21" t="str">
        <f t="shared" si="0"/>
        <v>----</v>
      </c>
      <c r="D32" s="21" t="str">
        <f t="shared" si="1"/>
        <v>----</v>
      </c>
      <c r="Y32" s="32" t="s">
        <v>51</v>
      </c>
      <c r="Z32" s="34" t="e">
        <f>IF($AC$7=0,$AC$6-$AF$7,$AC$6-$AC$7)</f>
        <v>#DIV/0!</v>
      </c>
      <c r="AA32" s="33" t="e">
        <f t="shared" si="3"/>
        <v>#DIV/0!</v>
      </c>
      <c r="AC32" s="32" t="s">
        <v>48</v>
      </c>
      <c r="AD32" s="20">
        <f t="shared" si="4"/>
        <v>0</v>
      </c>
      <c r="AE32" s="20">
        <f t="shared" si="5"/>
        <v>0</v>
      </c>
      <c r="AF32" s="33"/>
    </row>
    <row r="33" spans="1:40" ht="12.75" customHeight="1" x14ac:dyDescent="0.2">
      <c r="A33" s="23">
        <v>31</v>
      </c>
      <c r="B33" s="126"/>
      <c r="C33" s="21" t="str">
        <f t="shared" si="0"/>
        <v>----</v>
      </c>
      <c r="D33" s="21" t="str">
        <f t="shared" si="1"/>
        <v>----</v>
      </c>
      <c r="Y33" s="32" t="s">
        <v>52</v>
      </c>
      <c r="Z33" s="34" t="e">
        <f>AC6</f>
        <v>#DIV/0!</v>
      </c>
      <c r="AA33" s="33" t="e">
        <f t="shared" si="3"/>
        <v>#DIV/0!</v>
      </c>
      <c r="AC33" s="32" t="s">
        <v>51</v>
      </c>
      <c r="AD33" s="20">
        <f t="shared" si="4"/>
        <v>0</v>
      </c>
      <c r="AE33" s="20">
        <f t="shared" si="5"/>
        <v>0</v>
      </c>
      <c r="AF33" s="33"/>
    </row>
    <row r="34" spans="1:40" ht="12.75" customHeight="1" x14ac:dyDescent="0.2">
      <c r="A34" s="23">
        <v>32</v>
      </c>
      <c r="B34" s="126"/>
      <c r="C34" s="21" t="str">
        <f t="shared" si="0"/>
        <v>----</v>
      </c>
      <c r="D34" s="21" t="str">
        <f t="shared" si="1"/>
        <v>----</v>
      </c>
      <c r="Y34" s="32" t="s">
        <v>56</v>
      </c>
      <c r="Z34" s="34" t="e">
        <f>IF($AC$7=0,$AC$6+$AF$7,$AC$6+$AC$7)</f>
        <v>#DIV/0!</v>
      </c>
      <c r="AA34" s="33" t="e">
        <f t="shared" si="3"/>
        <v>#DIV/0!</v>
      </c>
      <c r="AC34" s="32" t="s">
        <v>56</v>
      </c>
      <c r="AD34" s="20">
        <f t="shared" si="4"/>
        <v>0</v>
      </c>
      <c r="AE34" s="20">
        <f t="shared" si="5"/>
        <v>0</v>
      </c>
      <c r="AF34" s="33"/>
    </row>
    <row r="35" spans="1:40" x14ac:dyDescent="0.2">
      <c r="A35" s="23">
        <v>33</v>
      </c>
      <c r="B35" s="126"/>
      <c r="C35" s="21" t="str">
        <f t="shared" si="0"/>
        <v>----</v>
      </c>
      <c r="D35" s="21" t="str">
        <f t="shared" si="1"/>
        <v>----</v>
      </c>
      <c r="Y35" s="32" t="s">
        <v>57</v>
      </c>
      <c r="Z35" s="34" t="e">
        <f>IF($AC$7=0,$AC$6+2*$AF$7,$AC$6+2*$AC$7)</f>
        <v>#DIV/0!</v>
      </c>
      <c r="AA35" s="33" t="e">
        <f t="shared" si="3"/>
        <v>#DIV/0!</v>
      </c>
      <c r="AC35" s="32" t="s">
        <v>57</v>
      </c>
      <c r="AD35" s="20">
        <f t="shared" si="4"/>
        <v>0</v>
      </c>
      <c r="AE35" s="20">
        <f t="shared" si="5"/>
        <v>0</v>
      </c>
      <c r="AF35" s="33"/>
    </row>
    <row r="36" spans="1:40" x14ac:dyDescent="0.2">
      <c r="A36" s="23">
        <v>34</v>
      </c>
      <c r="B36" s="126"/>
      <c r="C36" s="21" t="str">
        <f t="shared" si="0"/>
        <v>----</v>
      </c>
      <c r="D36" s="21" t="str">
        <f t="shared" si="1"/>
        <v>----</v>
      </c>
      <c r="Y36" s="32" t="s">
        <v>60</v>
      </c>
      <c r="Z36" s="34" t="e">
        <f>IF($AC$7=0,$AC$6+3*$AF$7,$AC$6+3*$AC$7)</f>
        <v>#DIV/0!</v>
      </c>
      <c r="AA36" s="33" t="e">
        <f t="shared" si="3"/>
        <v>#DIV/0!</v>
      </c>
      <c r="AC36" s="32" t="s">
        <v>60</v>
      </c>
      <c r="AD36" s="20">
        <f t="shared" si="4"/>
        <v>0</v>
      </c>
      <c r="AE36" s="20">
        <f t="shared" si="5"/>
        <v>0</v>
      </c>
      <c r="AF36" s="33"/>
    </row>
    <row r="37" spans="1:40" x14ac:dyDescent="0.2">
      <c r="A37" s="23">
        <v>35</v>
      </c>
      <c r="B37" s="126"/>
      <c r="C37" s="21" t="str">
        <f t="shared" si="0"/>
        <v>----</v>
      </c>
      <c r="D37" s="21" t="str">
        <f t="shared" si="1"/>
        <v>----</v>
      </c>
      <c r="Y37" s="32" t="s">
        <v>63</v>
      </c>
      <c r="Z37" s="34" t="e">
        <f>IF($AC$7=0,$AC$6+4*$AF$7,$AC$6+4*$AC$7)</f>
        <v>#DIV/0!</v>
      </c>
      <c r="AA37" s="33" t="e">
        <f t="shared" si="3"/>
        <v>#DIV/0!</v>
      </c>
      <c r="AC37" s="32" t="s">
        <v>63</v>
      </c>
      <c r="AD37" s="20">
        <f t="shared" si="4"/>
        <v>0</v>
      </c>
      <c r="AE37" s="20">
        <f t="shared" si="5"/>
        <v>0</v>
      </c>
      <c r="AF37" s="33"/>
    </row>
    <row r="38" spans="1:40" x14ac:dyDescent="0.2">
      <c r="A38" s="23">
        <v>36</v>
      </c>
      <c r="B38" s="126"/>
      <c r="C38" s="21" t="str">
        <f t="shared" si="0"/>
        <v>----</v>
      </c>
      <c r="D38" s="21" t="str">
        <f t="shared" si="1"/>
        <v>----</v>
      </c>
      <c r="Y38" s="32" t="s">
        <v>64</v>
      </c>
      <c r="Z38" s="34" t="e">
        <f>IF($AC$7=0,$AC$6+5*$AF$7,$AC$6+5*$AC$7)</f>
        <v>#DIV/0!</v>
      </c>
      <c r="AA38" s="33" t="e">
        <f t="shared" si="3"/>
        <v>#DIV/0!</v>
      </c>
      <c r="AC38" s="32" t="s">
        <v>64</v>
      </c>
      <c r="AD38" s="20">
        <f t="shared" si="4"/>
        <v>0</v>
      </c>
      <c r="AE38" s="20">
        <f t="shared" si="5"/>
        <v>0</v>
      </c>
      <c r="AF38" s="33"/>
      <c r="AJ38" s="40"/>
    </row>
    <row r="39" spans="1:40" x14ac:dyDescent="0.2">
      <c r="A39" s="23">
        <v>37</v>
      </c>
      <c r="B39" s="126"/>
      <c r="C39" s="21" t="str">
        <f t="shared" si="0"/>
        <v>----</v>
      </c>
      <c r="D39" s="21" t="str">
        <f t="shared" si="1"/>
        <v>----</v>
      </c>
      <c r="Y39" s="32" t="s">
        <v>65</v>
      </c>
      <c r="Z39" s="34" t="e">
        <f>IF($AC$7=0,$AC$6+6*$AF$7,$AC$6+6*$AC$7)</f>
        <v>#DIV/0!</v>
      </c>
      <c r="AA39" s="33" t="e">
        <f t="shared" si="3"/>
        <v>#DIV/0!</v>
      </c>
      <c r="AC39" s="32" t="s">
        <v>65</v>
      </c>
      <c r="AD39" s="20">
        <f t="shared" si="4"/>
        <v>0</v>
      </c>
      <c r="AE39" s="20">
        <f t="shared" si="5"/>
        <v>0</v>
      </c>
      <c r="AF39" s="33"/>
    </row>
    <row r="40" spans="1:40" x14ac:dyDescent="0.2">
      <c r="A40" s="23">
        <v>38</v>
      </c>
      <c r="B40" s="126"/>
      <c r="C40" s="21" t="str">
        <f t="shared" si="0"/>
        <v>----</v>
      </c>
      <c r="D40" s="21" t="str">
        <f t="shared" si="1"/>
        <v>----</v>
      </c>
      <c r="Y40" s="44"/>
      <c r="Z40" s="63" t="e">
        <f>Z39</f>
        <v>#DIV/0!</v>
      </c>
      <c r="AA40" s="48" t="e">
        <f t="shared" si="3"/>
        <v>#DIV/0!</v>
      </c>
      <c r="AC40" s="44"/>
      <c r="AD40" s="46"/>
      <c r="AE40" s="46">
        <f t="shared" si="5"/>
        <v>0</v>
      </c>
      <c r="AF40" s="48"/>
      <c r="AJ40" s="40"/>
      <c r="AK40" s="64"/>
    </row>
    <row r="41" spans="1:40" x14ac:dyDescent="0.2">
      <c r="A41" s="23">
        <v>39</v>
      </c>
      <c r="B41" s="126"/>
      <c r="C41" s="21" t="str">
        <f t="shared" si="0"/>
        <v>----</v>
      </c>
      <c r="D41" s="21" t="str">
        <f t="shared" si="1"/>
        <v>----</v>
      </c>
      <c r="V41" s="64"/>
    </row>
    <row r="42" spans="1:40" x14ac:dyDescent="0.2">
      <c r="A42" s="23">
        <v>40</v>
      </c>
      <c r="B42" s="126"/>
      <c r="C42" s="21" t="str">
        <f t="shared" si="0"/>
        <v>----</v>
      </c>
      <c r="D42" s="21" t="str">
        <f t="shared" si="1"/>
        <v>----</v>
      </c>
    </row>
    <row r="43" spans="1:40" x14ac:dyDescent="0.2">
      <c r="A43" s="23">
        <v>41</v>
      </c>
      <c r="B43" s="126"/>
      <c r="C43" s="21" t="str">
        <f t="shared" si="0"/>
        <v>----</v>
      </c>
      <c r="D43" s="21" t="str">
        <f t="shared" si="1"/>
        <v>----</v>
      </c>
      <c r="V43" s="31"/>
      <c r="Y43" s="60" t="s">
        <v>66</v>
      </c>
      <c r="Z43" s="60"/>
      <c r="AA43" s="65" t="s">
        <v>67</v>
      </c>
      <c r="AB43" s="65">
        <v>1.33</v>
      </c>
      <c r="AC43" s="66">
        <v>1.33</v>
      </c>
      <c r="AD43" s="60"/>
      <c r="AE43" s="27" t="s">
        <v>68</v>
      </c>
      <c r="AF43" s="27"/>
      <c r="AG43" s="67" t="s">
        <v>69</v>
      </c>
      <c r="AH43" s="27" t="s">
        <v>70</v>
      </c>
      <c r="AI43" s="28"/>
    </row>
    <row r="44" spans="1:40" x14ac:dyDescent="0.2">
      <c r="A44" s="23">
        <v>42</v>
      </c>
      <c r="B44" s="126"/>
      <c r="C44" s="21" t="str">
        <f t="shared" si="0"/>
        <v>----</v>
      </c>
      <c r="D44" s="21" t="str">
        <f t="shared" si="1"/>
        <v>----</v>
      </c>
      <c r="V44" s="31"/>
      <c r="Y44" s="32"/>
      <c r="Z44" s="32"/>
      <c r="AA44" s="19"/>
      <c r="AB44" s="19"/>
      <c r="AC44" s="19"/>
      <c r="AD44" s="32"/>
      <c r="AE44" s="34" t="s">
        <v>8</v>
      </c>
      <c r="AF44" s="35">
        <f>R5</f>
        <v>0</v>
      </c>
      <c r="AG44" s="68" t="s">
        <v>71</v>
      </c>
      <c r="AI44" s="33"/>
    </row>
    <row r="45" spans="1:40" x14ac:dyDescent="0.2">
      <c r="A45" s="23">
        <v>43</v>
      </c>
      <c r="B45" s="126"/>
      <c r="C45" s="21" t="str">
        <f t="shared" si="0"/>
        <v>----</v>
      </c>
      <c r="D45" s="21" t="str">
        <f t="shared" si="1"/>
        <v>----</v>
      </c>
      <c r="V45" s="64"/>
      <c r="Y45" s="32" t="s">
        <v>145</v>
      </c>
      <c r="Z45" s="32"/>
      <c r="AB45" s="19"/>
      <c r="AC45" s="19"/>
      <c r="AD45" s="32"/>
      <c r="AE45" s="20" t="s">
        <v>26</v>
      </c>
      <c r="AF45" s="35">
        <f>AF46-AF47</f>
        <v>0</v>
      </c>
      <c r="AG45" s="68">
        <f>0.5*AF45</f>
        <v>0</v>
      </c>
      <c r="AH45" s="20" t="s">
        <v>72</v>
      </c>
      <c r="AI45" s="33" t="e">
        <f>IF(Q4="Product tolerance",15/AE17,100/AE17)</f>
        <v>#DIV/0!</v>
      </c>
    </row>
    <row r="46" spans="1:40" x14ac:dyDescent="0.2">
      <c r="A46" s="23">
        <v>44</v>
      </c>
      <c r="B46" s="126"/>
      <c r="C46" s="21" t="str">
        <f t="shared" si="0"/>
        <v>----</v>
      </c>
      <c r="D46" s="21" t="str">
        <f t="shared" si="1"/>
        <v>----</v>
      </c>
      <c r="V46" s="64"/>
      <c r="Y46" s="32" t="s">
        <v>126</v>
      </c>
      <c r="Z46" s="32"/>
      <c r="AB46" s="19"/>
      <c r="AC46" s="19"/>
      <c r="AD46" s="32"/>
      <c r="AE46" s="20" t="s">
        <v>16</v>
      </c>
      <c r="AF46" s="35">
        <f>R8</f>
        <v>0</v>
      </c>
      <c r="AG46" s="69">
        <f>AF44+AG45</f>
        <v>0</v>
      </c>
      <c r="AH46" s="20" t="s">
        <v>73</v>
      </c>
      <c r="AI46" s="33" t="e">
        <f>IF(Q4="Product tolerance",15/AE21,100/AE21)</f>
        <v>#DIV/0!</v>
      </c>
      <c r="AK46" s="70"/>
      <c r="AL46" s="71"/>
      <c r="AM46" s="71"/>
      <c r="AN46" s="72"/>
    </row>
    <row r="47" spans="1:40" x14ac:dyDescent="0.2">
      <c r="A47" s="23">
        <v>45</v>
      </c>
      <c r="B47" s="126"/>
      <c r="C47" s="21" t="str">
        <f t="shared" si="0"/>
        <v>----</v>
      </c>
      <c r="D47" s="21" t="str">
        <f t="shared" si="1"/>
        <v>----</v>
      </c>
      <c r="V47" s="64"/>
      <c r="Y47" s="32"/>
      <c r="Z47" s="32"/>
      <c r="AA47" s="73" t="s">
        <v>74</v>
      </c>
      <c r="AB47" s="19"/>
      <c r="AC47" s="19"/>
      <c r="AD47" s="32"/>
      <c r="AE47" s="20" t="s">
        <v>19</v>
      </c>
      <c r="AF47" s="35">
        <f>R9</f>
        <v>0</v>
      </c>
      <c r="AG47" s="74">
        <f>AF44-AG45</f>
        <v>0</v>
      </c>
      <c r="AH47" s="20" t="s">
        <v>75</v>
      </c>
      <c r="AI47" s="33" t="e">
        <f>AI45*1.33</f>
        <v>#DIV/0!</v>
      </c>
      <c r="AK47" s="71"/>
      <c r="AL47" s="71"/>
      <c r="AM47" s="71"/>
      <c r="AN47" s="71"/>
    </row>
    <row r="48" spans="1:40" x14ac:dyDescent="0.2">
      <c r="A48" s="23">
        <v>46</v>
      </c>
      <c r="B48" s="126"/>
      <c r="C48" s="21" t="str">
        <f t="shared" si="0"/>
        <v>----</v>
      </c>
      <c r="D48" s="21" t="str">
        <f t="shared" si="1"/>
        <v>----</v>
      </c>
      <c r="V48" s="64"/>
      <c r="W48" s="64"/>
      <c r="Y48" s="32" t="s">
        <v>146</v>
      </c>
      <c r="Z48" s="32"/>
      <c r="AA48" s="20" t="s">
        <v>164</v>
      </c>
      <c r="AB48" s="19"/>
      <c r="AC48" s="19"/>
      <c r="AD48" s="32"/>
      <c r="AE48" s="20" t="s">
        <v>76</v>
      </c>
      <c r="AF48" s="40">
        <f>AF44+0.1*AF45</f>
        <v>0</v>
      </c>
      <c r="AH48" s="32" t="s">
        <v>77</v>
      </c>
      <c r="AI48" s="33" t="e">
        <f>AI46*1.33</f>
        <v>#DIV/0!</v>
      </c>
      <c r="AK48" s="71"/>
      <c r="AL48" s="71"/>
      <c r="AM48" s="70"/>
      <c r="AN48" s="71"/>
    </row>
    <row r="49" spans="1:40" x14ac:dyDescent="0.2">
      <c r="A49" s="23">
        <v>47</v>
      </c>
      <c r="B49" s="126"/>
      <c r="C49" s="21" t="str">
        <f t="shared" si="0"/>
        <v>----</v>
      </c>
      <c r="D49" s="21" t="str">
        <f t="shared" si="1"/>
        <v>----</v>
      </c>
      <c r="W49" s="64"/>
      <c r="Y49" s="32"/>
      <c r="Z49" s="32"/>
      <c r="AA49" s="20" t="s">
        <v>165</v>
      </c>
      <c r="AD49" s="32"/>
      <c r="AE49" s="20" t="s">
        <v>78</v>
      </c>
      <c r="AF49" s="40">
        <f>AF44-0.1*AF45</f>
        <v>0</v>
      </c>
      <c r="AH49" s="32" t="s">
        <v>72</v>
      </c>
      <c r="AI49" s="33" t="e">
        <f>IF(OR(AI47&gt;100,AI47&lt;0),"&gt; 100",AI47)</f>
        <v>#DIV/0!</v>
      </c>
      <c r="AK49" s="71"/>
      <c r="AL49" s="71"/>
      <c r="AM49" s="70"/>
      <c r="AN49" s="71"/>
    </row>
    <row r="50" spans="1:40" x14ac:dyDescent="0.2">
      <c r="A50" s="23">
        <v>48</v>
      </c>
      <c r="B50" s="126"/>
      <c r="C50" s="21" t="str">
        <f t="shared" si="0"/>
        <v>----</v>
      </c>
      <c r="D50" s="21" t="str">
        <f t="shared" si="1"/>
        <v>----</v>
      </c>
      <c r="V50" s="64"/>
      <c r="Y50" s="75">
        <v>0.95450000000000002</v>
      </c>
      <c r="Z50" s="32"/>
      <c r="AA50" s="20" t="s">
        <v>166</v>
      </c>
      <c r="AD50" s="32"/>
      <c r="AE50" s="20" t="s">
        <v>79</v>
      </c>
      <c r="AF50" s="40">
        <f>AF44+AF46</f>
        <v>0</v>
      </c>
      <c r="AH50" s="32" t="s">
        <v>73</v>
      </c>
      <c r="AI50" s="33" t="e">
        <f>IF(OR(AI48&gt;100,AI48&lt;0),"&gt;100",AI48)</f>
        <v>#DIV/0!</v>
      </c>
      <c r="AK50" s="71"/>
      <c r="AL50" s="71"/>
      <c r="AM50" s="70"/>
      <c r="AN50" s="71"/>
    </row>
    <row r="51" spans="1:40" ht="13.15" customHeight="1" x14ac:dyDescent="0.2">
      <c r="A51" s="23">
        <v>49</v>
      </c>
      <c r="B51" s="126"/>
      <c r="C51" s="21" t="str">
        <f t="shared" si="0"/>
        <v>----</v>
      </c>
      <c r="D51" s="21" t="str">
        <f t="shared" si="1"/>
        <v>----</v>
      </c>
      <c r="V51" s="64"/>
      <c r="Y51" s="76">
        <v>0.99729999999999996</v>
      </c>
      <c r="Z51" s="44"/>
      <c r="AA51" s="46" t="s">
        <v>167</v>
      </c>
      <c r="AB51" s="46"/>
      <c r="AC51" s="46"/>
      <c r="AD51" s="44"/>
      <c r="AE51" s="46" t="s">
        <v>80</v>
      </c>
      <c r="AF51" s="45">
        <f>AF44+AF47</f>
        <v>0</v>
      </c>
      <c r="AG51" s="46"/>
      <c r="AH51" s="44"/>
      <c r="AI51" s="48"/>
      <c r="AK51" s="71"/>
      <c r="AL51" s="71"/>
      <c r="AM51" s="70"/>
      <c r="AN51" s="71"/>
    </row>
    <row r="52" spans="1:40" ht="13.15" customHeight="1" x14ac:dyDescent="0.2">
      <c r="A52" s="23">
        <v>50</v>
      </c>
      <c r="B52" s="126"/>
      <c r="C52" s="21" t="str">
        <f t="shared" si="0"/>
        <v>----</v>
      </c>
      <c r="D52" s="21" t="str">
        <f t="shared" si="1"/>
        <v>----</v>
      </c>
      <c r="W52" s="20"/>
      <c r="AK52" s="71"/>
      <c r="AL52" s="71"/>
      <c r="AM52" s="70"/>
      <c r="AN52" s="71"/>
    </row>
    <row r="53" spans="1:40" ht="13.15" customHeight="1" x14ac:dyDescent="0.2">
      <c r="A53" s="77"/>
      <c r="B53" s="77"/>
      <c r="C53" s="77"/>
      <c r="D53" s="77"/>
      <c r="E53" s="77"/>
      <c r="F53" s="46" t="str">
        <f>IF($AC$7=0,"Grafische Darstellung der Istverteilung ist nicht möglich"," ")</f>
        <v>Grafische Darstellung der Istverteilung ist nicht möglich</v>
      </c>
      <c r="G53" s="77"/>
      <c r="H53" s="77"/>
      <c r="I53" s="77"/>
      <c r="J53" s="77"/>
      <c r="K53" s="77"/>
      <c r="L53" s="77"/>
      <c r="M53" s="77"/>
      <c r="N53" s="77"/>
      <c r="O53" s="77"/>
      <c r="P53" s="77"/>
      <c r="Q53" s="77"/>
      <c r="R53" s="77"/>
      <c r="S53" s="77"/>
      <c r="Y53" s="60" t="s">
        <v>147</v>
      </c>
      <c r="Z53" s="27"/>
      <c r="AA53" s="27"/>
      <c r="AB53" s="27"/>
      <c r="AC53" s="27"/>
      <c r="AD53" s="27"/>
      <c r="AE53" s="28"/>
      <c r="AK53" s="71"/>
      <c r="AL53" s="71"/>
      <c r="AM53" s="70"/>
      <c r="AN53" s="71"/>
    </row>
    <row r="54" spans="1:40" ht="4.1500000000000004" customHeight="1" x14ac:dyDescent="0.2">
      <c r="F54" s="20"/>
      <c r="Y54" s="32"/>
      <c r="AE54" s="33"/>
      <c r="AK54" s="71"/>
      <c r="AL54" s="71"/>
      <c r="AM54" s="70"/>
      <c r="AN54" s="71"/>
    </row>
    <row r="55" spans="1:40" x14ac:dyDescent="0.2">
      <c r="A55" s="78" t="s">
        <v>148</v>
      </c>
      <c r="C55" s="79"/>
      <c r="F55" s="163" t="e">
        <f>AC6</f>
        <v>#DIV/0!</v>
      </c>
      <c r="G55" s="164"/>
      <c r="H55" s="80" t="str">
        <f>IF(ISTEXT(R6),R6,"")</f>
        <v/>
      </c>
      <c r="K55" s="78" t="s">
        <v>146</v>
      </c>
      <c r="O55" s="172">
        <f>(J4)</f>
        <v>0.99729999999999996</v>
      </c>
      <c r="P55" s="173"/>
      <c r="Q55" s="163">
        <f>IF(J4=Y50,Z19*1.33,Z18*1.33)</f>
        <v>0</v>
      </c>
      <c r="R55" s="165"/>
      <c r="S55" s="80" t="str">
        <f>IF(ISTEXT(R6),R6,"")</f>
        <v/>
      </c>
      <c r="Y55" s="32" t="s">
        <v>149</v>
      </c>
      <c r="AE55" s="33"/>
      <c r="AK55" s="71"/>
      <c r="AL55" s="71"/>
      <c r="AM55" s="70"/>
      <c r="AN55" s="71"/>
    </row>
    <row r="56" spans="1:40" x14ac:dyDescent="0.2">
      <c r="A56" s="78" t="s">
        <v>150</v>
      </c>
      <c r="C56" s="79"/>
      <c r="F56" s="163">
        <f>$AC$7</f>
        <v>0</v>
      </c>
      <c r="G56" s="164"/>
      <c r="H56" s="80" t="str">
        <f>IF(ISTEXT(R6),R6,"")</f>
        <v/>
      </c>
      <c r="K56" s="78" t="s">
        <v>151</v>
      </c>
      <c r="Q56" s="163" t="e">
        <f>AC10</f>
        <v>#DIV/0!</v>
      </c>
      <c r="R56" s="165"/>
      <c r="S56" s="80" t="str">
        <f>IF(ISTEXT(R6),R6,"")</f>
        <v/>
      </c>
      <c r="U56" s="64"/>
      <c r="V56" s="31"/>
      <c r="W56" s="64"/>
      <c r="Y56" s="81" t="s">
        <v>152</v>
      </c>
      <c r="AE56" s="33"/>
      <c r="AK56" s="71"/>
      <c r="AL56" s="71"/>
      <c r="AM56" s="70"/>
      <c r="AN56" s="71"/>
    </row>
    <row r="57" spans="1:40" x14ac:dyDescent="0.2">
      <c r="A57" s="78" t="s">
        <v>153</v>
      </c>
      <c r="C57" s="79"/>
      <c r="F57" s="163">
        <f>$Z$6</f>
        <v>0</v>
      </c>
      <c r="G57" s="164"/>
      <c r="H57" s="80" t="str">
        <f>IF(ISTEXT(R6),R6,"")</f>
        <v/>
      </c>
      <c r="K57" s="78" t="s">
        <v>154</v>
      </c>
      <c r="Q57" s="163" t="e">
        <f>Q55+Q56</f>
        <v>#DIV/0!</v>
      </c>
      <c r="R57" s="165"/>
      <c r="S57" s="80" t="str">
        <f>IF(ISTEXT(R6),R6,"")</f>
        <v/>
      </c>
      <c r="U57" s="64"/>
      <c r="V57" s="64"/>
      <c r="W57" s="64"/>
      <c r="X57" s="64"/>
      <c r="Y57" s="81" t="s">
        <v>155</v>
      </c>
      <c r="AE57" s="33"/>
      <c r="AK57" s="71"/>
      <c r="AL57" s="71"/>
      <c r="AM57" s="70"/>
      <c r="AN57" s="71"/>
    </row>
    <row r="58" spans="1:40" x14ac:dyDescent="0.2">
      <c r="A58" s="78" t="s">
        <v>156</v>
      </c>
      <c r="C58" s="79"/>
      <c r="F58" s="163">
        <f>$Z$7</f>
        <v>0</v>
      </c>
      <c r="G58" s="164"/>
      <c r="H58" s="80" t="str">
        <f>IF(ISTEXT(R6),R6,"")</f>
        <v/>
      </c>
      <c r="K58" s="78" t="s">
        <v>157</v>
      </c>
      <c r="Q58" s="163" t="e">
        <f>-Q55+Q56</f>
        <v>#DIV/0!</v>
      </c>
      <c r="R58" s="164"/>
      <c r="S58" s="80" t="str">
        <f>IF(ISTEXT(R6),R6,"")</f>
        <v/>
      </c>
      <c r="U58" s="64"/>
      <c r="X58" s="64"/>
      <c r="Y58" s="81" t="s">
        <v>158</v>
      </c>
      <c r="AE58" s="33"/>
      <c r="AK58" s="71"/>
      <c r="AL58" s="71"/>
      <c r="AM58" s="70"/>
      <c r="AN58" s="71"/>
    </row>
    <row r="59" spans="1:40" ht="5.0999999999999996" customHeight="1" x14ac:dyDescent="0.2">
      <c r="C59" s="79"/>
      <c r="D59" s="79"/>
      <c r="F59" s="117"/>
      <c r="G59" s="118"/>
      <c r="H59" s="80"/>
      <c r="M59" s="78"/>
      <c r="N59" s="78"/>
      <c r="R59" s="82"/>
      <c r="S59" s="80"/>
      <c r="Y59" s="32"/>
      <c r="AE59" s="33"/>
      <c r="AK59" s="71"/>
      <c r="AL59" s="71"/>
      <c r="AM59" s="70"/>
      <c r="AN59" s="71"/>
    </row>
    <row r="60" spans="1:40" ht="20.100000000000001" customHeight="1" x14ac:dyDescent="0.2">
      <c r="A60" s="83" t="s">
        <v>81</v>
      </c>
      <c r="B60" s="84" t="str">
        <f>IF(W101&gt;24,$AE$17,"")</f>
        <v/>
      </c>
      <c r="C60" s="85" t="str">
        <f>IF(W101&gt;24,$AH$17,"not capable")</f>
        <v>not capable</v>
      </c>
      <c r="D60" s="86"/>
      <c r="E60" s="86"/>
      <c r="F60" s="176" t="s">
        <v>159</v>
      </c>
      <c r="G60" s="177"/>
      <c r="H60" s="177"/>
      <c r="I60" s="178" t="e">
        <f>AI49</f>
        <v>#DIV/0!</v>
      </c>
      <c r="J60" s="179"/>
      <c r="K60" s="83" t="s">
        <v>82</v>
      </c>
      <c r="L60" s="87" t="str">
        <f>IF(W101&gt;24,$AE$21,"")</f>
        <v/>
      </c>
      <c r="M60" s="88" t="str">
        <f>IF(W101&gt;24,$AE$20,"not capable")</f>
        <v>not capable</v>
      </c>
      <c r="N60" s="88"/>
      <c r="O60" s="86"/>
      <c r="P60" s="89" t="s">
        <v>159</v>
      </c>
      <c r="Q60" s="89"/>
      <c r="R60" s="178" t="e">
        <f>AI50</f>
        <v>#DIV/0!</v>
      </c>
      <c r="S60" s="180"/>
      <c r="V60" s="64"/>
      <c r="W60" s="64"/>
      <c r="X60" s="64"/>
      <c r="Y60" s="81" t="s">
        <v>83</v>
      </c>
      <c r="Z60" s="40" t="str">
        <f>IF((AND(C60="capable",M60="capable")),"capable","not capable")</f>
        <v>not capable</v>
      </c>
      <c r="AE60" s="33"/>
      <c r="AK60" s="71"/>
      <c r="AL60" s="71"/>
      <c r="AM60" s="70"/>
      <c r="AN60" s="71"/>
    </row>
    <row r="61" spans="1:40" ht="5.0999999999999996" customHeight="1" x14ac:dyDescent="0.2">
      <c r="J61" s="79"/>
      <c r="L61" s="54"/>
      <c r="Q61" s="79"/>
      <c r="R61" s="82"/>
      <c r="S61" s="80"/>
      <c r="Y61" s="32"/>
      <c r="AE61" s="33"/>
      <c r="AK61" s="71"/>
      <c r="AL61" s="71"/>
      <c r="AM61" s="70"/>
      <c r="AN61" s="71"/>
    </row>
    <row r="62" spans="1:40" x14ac:dyDescent="0.2">
      <c r="A62" s="90" t="str">
        <f>Z63</f>
        <v>The test equipment capability was not proven (target cg/cgk ≥ 1,33).</v>
      </c>
      <c r="J62" s="80"/>
      <c r="K62" s="90"/>
      <c r="W62" s="31"/>
      <c r="X62" s="64"/>
      <c r="Y62" s="32"/>
      <c r="AE62" s="33"/>
      <c r="AK62" s="71"/>
      <c r="AL62" s="71"/>
      <c r="AM62" s="70"/>
      <c r="AN62" s="71"/>
    </row>
    <row r="63" spans="1:40" x14ac:dyDescent="0.2">
      <c r="A63" s="90" t="str">
        <f>Z64</f>
        <v>The testing device or test fixture is not released for use.</v>
      </c>
      <c r="J63" s="91"/>
      <c r="K63" s="92"/>
      <c r="L63" s="93"/>
      <c r="V63" s="64"/>
      <c r="Y63" s="32"/>
      <c r="Z63" s="40" t="str">
        <f>IF(Z60="capable",Y53,Y55)</f>
        <v>The test equipment capability was not proven (target cg/cgk ≥ 1,33).</v>
      </c>
      <c r="AE63" s="33"/>
      <c r="AK63" s="71"/>
      <c r="AL63" s="71"/>
      <c r="AM63" s="70"/>
      <c r="AN63" s="71"/>
    </row>
    <row r="64" spans="1:40" ht="12.75" customHeight="1" x14ac:dyDescent="0.2">
      <c r="A64" s="94" t="str">
        <f>Z65</f>
        <v/>
      </c>
      <c r="B64" s="77"/>
      <c r="C64" s="77"/>
      <c r="D64" s="95"/>
      <c r="E64" s="77"/>
      <c r="F64" s="77"/>
      <c r="G64" s="77"/>
      <c r="H64" s="77"/>
      <c r="I64" s="77"/>
      <c r="J64" s="96"/>
      <c r="K64" s="97"/>
      <c r="L64" s="98"/>
      <c r="M64" s="77"/>
      <c r="N64" s="77"/>
      <c r="O64" s="77"/>
      <c r="P64" s="77"/>
      <c r="Q64" s="77"/>
      <c r="R64" s="77"/>
      <c r="S64" s="77"/>
      <c r="V64" s="64"/>
      <c r="W64" s="64"/>
      <c r="Y64" s="99"/>
      <c r="Z64" s="40" t="str">
        <f>IF(Z60="capable", Y56,Y57)</f>
        <v>The testing device or test fixture is not released for use.</v>
      </c>
      <c r="AE64" s="33"/>
      <c r="AK64" s="71"/>
      <c r="AL64" s="71"/>
      <c r="AM64" s="70"/>
      <c r="AN64" s="71"/>
    </row>
    <row r="65" spans="1:40" x14ac:dyDescent="0.2">
      <c r="A65" s="80"/>
      <c r="J65" s="91"/>
      <c r="K65" s="93"/>
      <c r="L65" s="93"/>
      <c r="W65" s="64"/>
      <c r="Y65" s="81"/>
      <c r="Z65" s="20" t="str">
        <f>IF(Z60="capable",Y58,"")</f>
        <v/>
      </c>
      <c r="AE65" s="33"/>
      <c r="AK65" s="71"/>
      <c r="AL65" s="71"/>
      <c r="AM65" s="70"/>
      <c r="AN65" s="71"/>
    </row>
    <row r="66" spans="1:40" ht="169.9" customHeight="1" x14ac:dyDescent="0.2">
      <c r="A66" s="80"/>
      <c r="J66" s="91"/>
      <c r="K66" s="80"/>
      <c r="L66" s="93"/>
      <c r="V66" s="64"/>
      <c r="W66" s="64"/>
      <c r="Y66" s="32"/>
      <c r="AE66" s="33"/>
      <c r="AK66" s="71"/>
      <c r="AL66" s="71"/>
      <c r="AM66" s="70"/>
      <c r="AN66" s="71"/>
    </row>
    <row r="67" spans="1:40" ht="169.9" customHeight="1" x14ac:dyDescent="0.2">
      <c r="A67" s="80"/>
      <c r="J67" s="91"/>
      <c r="K67" s="93"/>
      <c r="L67" s="93"/>
      <c r="V67" s="37"/>
      <c r="Y67" s="100"/>
      <c r="Z67" s="46"/>
      <c r="AA67" s="46"/>
      <c r="AB67" s="46"/>
      <c r="AC67" s="46"/>
      <c r="AD67" s="46"/>
      <c r="AE67" s="48"/>
      <c r="AK67" s="71"/>
      <c r="AL67" s="71"/>
      <c r="AM67" s="70"/>
      <c r="AN67" s="71"/>
    </row>
    <row r="68" spans="1:40" ht="169.9" customHeight="1" x14ac:dyDescent="0.2">
      <c r="A68" s="80"/>
      <c r="J68" s="91"/>
      <c r="K68" s="93"/>
      <c r="L68" s="93"/>
      <c r="V68" s="37"/>
      <c r="Y68" s="40"/>
      <c r="AK68" s="71"/>
      <c r="AL68" s="71"/>
      <c r="AM68" s="70"/>
      <c r="AN68" s="71"/>
    </row>
    <row r="69" spans="1:40" ht="169.9" customHeight="1" x14ac:dyDescent="0.2">
      <c r="A69" s="80"/>
      <c r="J69" s="91"/>
      <c r="K69" s="93"/>
      <c r="L69" s="93"/>
      <c r="AK69" s="71"/>
      <c r="AL69" s="71"/>
      <c r="AM69" s="70"/>
      <c r="AN69" s="71"/>
    </row>
    <row r="70" spans="1:40" ht="169.9" customHeight="1" x14ac:dyDescent="0.2">
      <c r="A70" s="80"/>
      <c r="J70" s="91"/>
      <c r="K70" s="93"/>
      <c r="L70" s="93"/>
      <c r="W70" s="64"/>
      <c r="AK70" s="71"/>
      <c r="AL70" s="71"/>
      <c r="AM70" s="70"/>
      <c r="AN70" s="71"/>
    </row>
    <row r="71" spans="1:40" ht="169.9" customHeight="1" x14ac:dyDescent="0.2">
      <c r="A71" s="80"/>
      <c r="J71" s="91"/>
      <c r="K71" s="93"/>
      <c r="L71" s="93"/>
      <c r="X71" s="64"/>
      <c r="AK71" s="71"/>
      <c r="AL71" s="71"/>
      <c r="AM71" s="70"/>
      <c r="AN71" s="71"/>
    </row>
    <row r="72" spans="1:40" ht="169.9" customHeight="1" x14ac:dyDescent="0.2">
      <c r="A72" s="80"/>
      <c r="J72" s="91"/>
      <c r="K72" s="93"/>
      <c r="L72" s="93"/>
      <c r="X72" s="64"/>
      <c r="AK72" s="71"/>
      <c r="AL72" s="71"/>
      <c r="AM72" s="70"/>
      <c r="AN72" s="71"/>
    </row>
    <row r="73" spans="1:40" ht="169.9" customHeight="1" x14ac:dyDescent="0.2">
      <c r="A73" s="80"/>
      <c r="J73" s="91"/>
      <c r="K73" s="93"/>
      <c r="L73" s="93"/>
      <c r="AK73" s="71"/>
      <c r="AL73" s="71"/>
      <c r="AM73" s="70"/>
      <c r="AN73" s="71"/>
    </row>
    <row r="74" spans="1:40" ht="169.9" customHeight="1" x14ac:dyDescent="0.2">
      <c r="A74" s="80"/>
      <c r="J74" s="91"/>
      <c r="K74" s="93"/>
      <c r="L74" s="93"/>
      <c r="AK74" s="71"/>
      <c r="AL74" s="71"/>
      <c r="AM74" s="70"/>
      <c r="AN74" s="71"/>
    </row>
    <row r="75" spans="1:40" ht="169.9" customHeight="1" x14ac:dyDescent="0.2">
      <c r="A75" s="80"/>
      <c r="J75" s="91"/>
      <c r="K75" s="93"/>
      <c r="L75" s="93"/>
      <c r="Q75" s="79"/>
      <c r="R75" s="101"/>
      <c r="AK75" s="71"/>
      <c r="AL75" s="71"/>
      <c r="AM75" s="70"/>
      <c r="AN75" s="71"/>
    </row>
    <row r="76" spans="1:40" ht="169.9" customHeight="1" x14ac:dyDescent="0.2">
      <c r="AK76" s="71"/>
      <c r="AL76" s="71"/>
      <c r="AM76" s="70"/>
      <c r="AN76" s="71"/>
    </row>
    <row r="77" spans="1:40" x14ac:dyDescent="0.2">
      <c r="A77" s="60" t="s">
        <v>84</v>
      </c>
      <c r="B77" s="27"/>
      <c r="C77" s="27"/>
      <c r="D77" s="27"/>
      <c r="E77" s="27"/>
      <c r="F77" s="27"/>
      <c r="G77" s="27"/>
      <c r="H77" s="27"/>
      <c r="I77" s="27"/>
      <c r="J77" s="27"/>
      <c r="K77" s="28"/>
      <c r="L77" s="20"/>
      <c r="M77" s="60"/>
      <c r="N77" s="27"/>
      <c r="O77" s="27"/>
      <c r="P77" s="27"/>
      <c r="Q77" s="27"/>
      <c r="R77" s="27"/>
      <c r="S77" s="28"/>
      <c r="T77" s="20"/>
      <c r="U77" s="102">
        <f t="shared" ref="U77:U126" si="6">IF(ISNUMBER(B3),1,0)</f>
        <v>0</v>
      </c>
      <c r="V77" s="103">
        <v>1</v>
      </c>
      <c r="W77" s="104"/>
      <c r="AK77" s="71"/>
      <c r="AL77" s="71"/>
      <c r="AM77" s="70"/>
      <c r="AN77" s="71"/>
    </row>
    <row r="78" spans="1:40" x14ac:dyDescent="0.2">
      <c r="A78" s="32"/>
      <c r="B78" s="20"/>
      <c r="C78" s="20"/>
      <c r="D78" s="20"/>
      <c r="E78" s="20"/>
      <c r="F78" s="20"/>
      <c r="G78" s="20" t="s">
        <v>85</v>
      </c>
      <c r="H78" s="20" t="s">
        <v>86</v>
      </c>
      <c r="I78" s="20" t="s">
        <v>87</v>
      </c>
      <c r="J78" s="20"/>
      <c r="K78" s="33"/>
      <c r="L78" s="20"/>
      <c r="M78" s="32"/>
      <c r="N78" s="20"/>
      <c r="O78" s="20"/>
      <c r="P78" s="42" t="s">
        <v>88</v>
      </c>
      <c r="Q78" s="35" t="e">
        <f>R83</f>
        <v>#DIV/0!</v>
      </c>
      <c r="R78" s="20"/>
      <c r="S78" s="33"/>
      <c r="T78" s="20"/>
      <c r="U78" s="105">
        <f t="shared" si="6"/>
        <v>0</v>
      </c>
      <c r="V78" s="19">
        <v>2</v>
      </c>
      <c r="W78" s="106"/>
      <c r="AK78" s="71"/>
      <c r="AL78" s="71"/>
      <c r="AM78" s="70"/>
      <c r="AN78" s="71"/>
    </row>
    <row r="79" spans="1:40" x14ac:dyDescent="0.2">
      <c r="A79" s="32"/>
      <c r="B79" s="20"/>
      <c r="C79" s="20"/>
      <c r="D79" s="20" t="s">
        <v>89</v>
      </c>
      <c r="E79" s="20"/>
      <c r="F79" s="20" t="s">
        <v>90</v>
      </c>
      <c r="G79" s="20" t="s">
        <v>91</v>
      </c>
      <c r="H79" s="20" t="s">
        <v>91</v>
      </c>
      <c r="I79" s="20" t="s">
        <v>92</v>
      </c>
      <c r="J79" s="20"/>
      <c r="K79" s="33"/>
      <c r="L79" s="20"/>
      <c r="M79" s="32"/>
      <c r="N79" s="20"/>
      <c r="O79" s="20"/>
      <c r="P79" s="42" t="s">
        <v>93</v>
      </c>
      <c r="Q79" s="20" t="e">
        <f>(R82-R83)/199</f>
        <v>#DIV/0!</v>
      </c>
      <c r="R79" s="20"/>
      <c r="S79" s="33"/>
      <c r="T79" s="20"/>
      <c r="U79" s="105">
        <f t="shared" si="6"/>
        <v>0</v>
      </c>
      <c r="V79" s="19">
        <v>3</v>
      </c>
      <c r="W79" s="106"/>
      <c r="AK79" s="71"/>
      <c r="AL79" s="71"/>
      <c r="AM79" s="70"/>
      <c r="AN79" s="71"/>
    </row>
    <row r="80" spans="1:40" x14ac:dyDescent="0.2">
      <c r="A80" s="32">
        <f>IF($AC$7=0,0.0001,$AC$7)</f>
        <v>1E-4</v>
      </c>
      <c r="B80" s="20"/>
      <c r="C80" s="20"/>
      <c r="D80" s="20">
        <v>1</v>
      </c>
      <c r="E80" s="20"/>
      <c r="F80" s="34" t="e">
        <f>R83</f>
        <v>#DIV/0!</v>
      </c>
      <c r="G80" s="20" t="e">
        <f t="shared" ref="G80:G143" si="7">1/($A$80*SQRT(2*3.14))*EXP(-((F80-$AC$6)*(F80-$AC$6))/(($A$80*$A$80)*2))</f>
        <v>#DIV/0!</v>
      </c>
      <c r="H80" s="20" t="e">
        <f t="shared" ref="H80:H143" si="8">1/($AF$7*SQRT(2*3.14))*EXP(-((F80-$AF$6)*(F80-$AF$6))/(($AF$7*$AF$7)*2))</f>
        <v>#DIV/0!</v>
      </c>
      <c r="I80" s="20" t="e">
        <f t="shared" ref="I80:I143" si="9">IF(OR(J80-J79=1,J80-J79=-1),$S$159,0)</f>
        <v>#DIV/0!</v>
      </c>
      <c r="J80" s="20" t="e">
        <f t="shared" ref="J80:J143" si="10">IF(OR(F80&lt;$AF$8,F80&gt;$AF$9),0,1)</f>
        <v>#DIV/0!</v>
      </c>
      <c r="K80" s="33"/>
      <c r="L80" s="20"/>
      <c r="M80" s="32"/>
      <c r="N80" s="20"/>
      <c r="O80" s="20"/>
      <c r="P80" s="20"/>
      <c r="Q80" s="20"/>
      <c r="R80" s="20"/>
      <c r="S80" s="33"/>
      <c r="T80" s="20"/>
      <c r="U80" s="105">
        <f t="shared" si="6"/>
        <v>0</v>
      </c>
      <c r="V80" s="19">
        <v>4</v>
      </c>
      <c r="W80" s="106"/>
      <c r="Y80" s="40"/>
      <c r="AK80" s="71"/>
      <c r="AL80" s="71"/>
      <c r="AM80" s="70"/>
      <c r="AN80" s="71"/>
    </row>
    <row r="81" spans="1:40" x14ac:dyDescent="0.2">
      <c r="A81" s="32"/>
      <c r="B81" s="20"/>
      <c r="C81" s="20"/>
      <c r="D81" s="20">
        <v>2</v>
      </c>
      <c r="E81" s="20"/>
      <c r="F81" s="34" t="e">
        <f t="shared" ref="F81:F144" si="11">F80+$Q$79</f>
        <v>#DIV/0!</v>
      </c>
      <c r="G81" s="20" t="e">
        <f t="shared" si="7"/>
        <v>#DIV/0!</v>
      </c>
      <c r="H81" s="20" t="e">
        <f t="shared" si="8"/>
        <v>#DIV/0!</v>
      </c>
      <c r="I81" s="20" t="e">
        <f t="shared" si="9"/>
        <v>#DIV/0!</v>
      </c>
      <c r="J81" s="20" t="e">
        <f t="shared" si="10"/>
        <v>#DIV/0!</v>
      </c>
      <c r="K81" s="33"/>
      <c r="L81" s="20"/>
      <c r="M81" s="32"/>
      <c r="N81" s="20"/>
      <c r="O81" s="20"/>
      <c r="P81" s="20"/>
      <c r="Q81" s="20"/>
      <c r="R81" s="20"/>
      <c r="S81" s="33"/>
      <c r="T81" s="20"/>
      <c r="U81" s="105">
        <f t="shared" si="6"/>
        <v>0</v>
      </c>
      <c r="V81" s="19">
        <v>5</v>
      </c>
      <c r="W81" s="106"/>
      <c r="AK81" s="71"/>
      <c r="AL81" s="71"/>
      <c r="AM81" s="70"/>
      <c r="AN81" s="71"/>
    </row>
    <row r="82" spans="1:40" x14ac:dyDescent="0.2">
      <c r="A82" s="32"/>
      <c r="B82" s="20"/>
      <c r="C82" s="20"/>
      <c r="D82" s="20">
        <v>3</v>
      </c>
      <c r="E82" s="20"/>
      <c r="F82" s="34" t="e">
        <f t="shared" si="11"/>
        <v>#DIV/0!</v>
      </c>
      <c r="G82" s="20" t="e">
        <f t="shared" si="7"/>
        <v>#DIV/0!</v>
      </c>
      <c r="H82" s="20" t="e">
        <f t="shared" si="8"/>
        <v>#DIV/0!</v>
      </c>
      <c r="I82" s="20" t="e">
        <f t="shared" si="9"/>
        <v>#DIV/0!</v>
      </c>
      <c r="J82" s="20" t="e">
        <f t="shared" si="10"/>
        <v>#DIV/0!</v>
      </c>
      <c r="K82" s="33"/>
      <c r="L82" s="20"/>
      <c r="M82" s="32"/>
      <c r="N82" s="20"/>
      <c r="O82" s="20"/>
      <c r="P82" s="20" t="s">
        <v>94</v>
      </c>
      <c r="Q82" s="35" t="e">
        <f>R82</f>
        <v>#DIV/0!</v>
      </c>
      <c r="R82" s="35" t="e">
        <f>IF(O85&gt;S82,O85,S82)</f>
        <v>#DIV/0!</v>
      </c>
      <c r="S82" s="107">
        <f>IF(AF9&gt;Q85,AF9,Q85)</f>
        <v>0</v>
      </c>
      <c r="T82" s="20"/>
      <c r="U82" s="105">
        <f t="shared" si="6"/>
        <v>0</v>
      </c>
      <c r="V82" s="19">
        <v>6</v>
      </c>
      <c r="W82" s="106"/>
      <c r="AK82" s="71"/>
      <c r="AL82" s="71"/>
      <c r="AM82" s="70"/>
      <c r="AN82" s="71"/>
    </row>
    <row r="83" spans="1:40" x14ac:dyDescent="0.2">
      <c r="A83" s="32"/>
      <c r="B83" s="20"/>
      <c r="C83" s="20"/>
      <c r="D83" s="20">
        <v>4</v>
      </c>
      <c r="E83" s="20"/>
      <c r="F83" s="34" t="e">
        <f t="shared" si="11"/>
        <v>#DIV/0!</v>
      </c>
      <c r="G83" s="20" t="e">
        <f t="shared" si="7"/>
        <v>#DIV/0!</v>
      </c>
      <c r="H83" s="20" t="e">
        <f t="shared" si="8"/>
        <v>#DIV/0!</v>
      </c>
      <c r="I83" s="20" t="e">
        <f t="shared" si="9"/>
        <v>#DIV/0!</v>
      </c>
      <c r="J83" s="20" t="e">
        <f t="shared" si="10"/>
        <v>#DIV/0!</v>
      </c>
      <c r="K83" s="33"/>
      <c r="L83" s="20"/>
      <c r="M83" s="32"/>
      <c r="N83" s="20"/>
      <c r="O83" s="20"/>
      <c r="P83" s="20" t="s">
        <v>95</v>
      </c>
      <c r="Q83" s="35" t="e">
        <f>R83</f>
        <v>#DIV/0!</v>
      </c>
      <c r="R83" s="35" t="e">
        <f>IF(O86&lt;S83,O86,S83)</f>
        <v>#DIV/0!</v>
      </c>
      <c r="S83" s="107">
        <f>IF(AF8&lt;Q86,AF8,Q86)</f>
        <v>0</v>
      </c>
      <c r="T83" s="20"/>
      <c r="U83" s="105">
        <f t="shared" si="6"/>
        <v>0</v>
      </c>
      <c r="V83" s="19">
        <v>7</v>
      </c>
      <c r="W83" s="106"/>
      <c r="AK83" s="71"/>
      <c r="AL83" s="71"/>
      <c r="AM83" s="70"/>
      <c r="AN83" s="71"/>
    </row>
    <row r="84" spans="1:40" x14ac:dyDescent="0.2">
      <c r="A84" s="32"/>
      <c r="B84" s="20"/>
      <c r="C84" s="20"/>
      <c r="D84" s="20">
        <v>5</v>
      </c>
      <c r="E84" s="20"/>
      <c r="F84" s="34" t="e">
        <f t="shared" si="11"/>
        <v>#DIV/0!</v>
      </c>
      <c r="G84" s="20" t="e">
        <f t="shared" si="7"/>
        <v>#DIV/0!</v>
      </c>
      <c r="H84" s="20" t="e">
        <f t="shared" si="8"/>
        <v>#DIV/0!</v>
      </c>
      <c r="I84" s="20" t="e">
        <f t="shared" si="9"/>
        <v>#DIV/0!</v>
      </c>
      <c r="J84" s="20" t="e">
        <f t="shared" si="10"/>
        <v>#DIV/0!</v>
      </c>
      <c r="K84" s="33"/>
      <c r="L84" s="20"/>
      <c r="M84" s="32"/>
      <c r="N84" s="20"/>
      <c r="O84" s="20"/>
      <c r="P84" s="20"/>
      <c r="Q84" s="20"/>
      <c r="R84" s="20"/>
      <c r="S84" s="33"/>
      <c r="T84" s="20"/>
      <c r="U84" s="105">
        <f t="shared" si="6"/>
        <v>0</v>
      </c>
      <c r="V84" s="19">
        <v>8</v>
      </c>
      <c r="W84" s="106"/>
      <c r="AK84" s="71"/>
      <c r="AL84" s="71"/>
      <c r="AM84" s="70"/>
      <c r="AN84" s="71"/>
    </row>
    <row r="85" spans="1:40" x14ac:dyDescent="0.2">
      <c r="A85" s="32"/>
      <c r="B85" s="20"/>
      <c r="C85" s="20"/>
      <c r="D85" s="20">
        <v>6</v>
      </c>
      <c r="E85" s="20"/>
      <c r="F85" s="34" t="e">
        <f t="shared" si="11"/>
        <v>#DIV/0!</v>
      </c>
      <c r="G85" s="20" t="e">
        <f t="shared" si="7"/>
        <v>#DIV/0!</v>
      </c>
      <c r="H85" s="20" t="e">
        <f t="shared" si="8"/>
        <v>#DIV/0!</v>
      </c>
      <c r="I85" s="20" t="e">
        <f t="shared" si="9"/>
        <v>#DIV/0!</v>
      </c>
      <c r="J85" s="20" t="e">
        <f t="shared" si="10"/>
        <v>#DIV/0!</v>
      </c>
      <c r="K85" s="33"/>
      <c r="L85" s="20"/>
      <c r="M85" s="32" t="s">
        <v>65</v>
      </c>
      <c r="N85" s="20"/>
      <c r="O85" s="108" t="e">
        <f>AC6+6*AC7</f>
        <v>#DIV/0!</v>
      </c>
      <c r="P85" s="20" t="s">
        <v>96</v>
      </c>
      <c r="Q85" s="20">
        <f>AF6+6*AF7</f>
        <v>0</v>
      </c>
      <c r="R85" s="20"/>
      <c r="S85" s="33"/>
      <c r="T85" s="20"/>
      <c r="U85" s="105">
        <f t="shared" si="6"/>
        <v>0</v>
      </c>
      <c r="V85" s="19">
        <v>9</v>
      </c>
      <c r="W85" s="106"/>
      <c r="AK85" s="71"/>
      <c r="AL85" s="71"/>
      <c r="AM85" s="70"/>
      <c r="AN85" s="71"/>
    </row>
    <row r="86" spans="1:40" x14ac:dyDescent="0.2">
      <c r="A86" s="32"/>
      <c r="B86" s="20"/>
      <c r="C86" s="20"/>
      <c r="D86" s="20">
        <v>7</v>
      </c>
      <c r="E86" s="20"/>
      <c r="F86" s="34" t="e">
        <f t="shared" si="11"/>
        <v>#DIV/0!</v>
      </c>
      <c r="G86" s="20" t="e">
        <f t="shared" si="7"/>
        <v>#DIV/0!</v>
      </c>
      <c r="H86" s="20" t="e">
        <f t="shared" si="8"/>
        <v>#DIV/0!</v>
      </c>
      <c r="I86" s="20" t="e">
        <f t="shared" si="9"/>
        <v>#DIV/0!</v>
      </c>
      <c r="J86" s="20" t="e">
        <f t="shared" si="10"/>
        <v>#DIV/0!</v>
      </c>
      <c r="K86" s="33"/>
      <c r="L86" s="20"/>
      <c r="M86" s="32" t="s">
        <v>32</v>
      </c>
      <c r="N86" s="20"/>
      <c r="O86" s="108" t="e">
        <f>AC6-6*AC7</f>
        <v>#DIV/0!</v>
      </c>
      <c r="P86" s="20" t="s">
        <v>97</v>
      </c>
      <c r="Q86" s="20">
        <f>AF6-6*AF7</f>
        <v>0</v>
      </c>
      <c r="R86" s="20"/>
      <c r="S86" s="33"/>
      <c r="T86" s="20"/>
      <c r="U86" s="105">
        <f t="shared" si="6"/>
        <v>0</v>
      </c>
      <c r="V86" s="19">
        <v>10</v>
      </c>
      <c r="W86" s="106"/>
      <c r="AK86" s="71"/>
      <c r="AL86" s="71"/>
      <c r="AM86" s="70"/>
      <c r="AN86" s="71"/>
    </row>
    <row r="87" spans="1:40" x14ac:dyDescent="0.2">
      <c r="A87" s="32"/>
      <c r="B87" s="20"/>
      <c r="C87" s="20"/>
      <c r="D87" s="20">
        <v>8</v>
      </c>
      <c r="E87" s="20"/>
      <c r="F87" s="34" t="e">
        <f t="shared" si="11"/>
        <v>#DIV/0!</v>
      </c>
      <c r="G87" s="20" t="e">
        <f t="shared" si="7"/>
        <v>#DIV/0!</v>
      </c>
      <c r="H87" s="20" t="e">
        <f t="shared" si="8"/>
        <v>#DIV/0!</v>
      </c>
      <c r="I87" s="20" t="e">
        <f t="shared" si="9"/>
        <v>#DIV/0!</v>
      </c>
      <c r="J87" s="20" t="e">
        <f t="shared" si="10"/>
        <v>#DIV/0!</v>
      </c>
      <c r="K87" s="33"/>
      <c r="L87" s="20"/>
      <c r="M87" s="44"/>
      <c r="N87" s="46"/>
      <c r="O87" s="46"/>
      <c r="P87" s="46"/>
      <c r="Q87" s="46"/>
      <c r="R87" s="46"/>
      <c r="S87" s="48"/>
      <c r="T87" s="20"/>
      <c r="U87" s="105">
        <f t="shared" si="6"/>
        <v>0</v>
      </c>
      <c r="V87" s="19">
        <v>11</v>
      </c>
      <c r="W87" s="106"/>
      <c r="AK87" s="71"/>
      <c r="AL87" s="71"/>
      <c r="AM87" s="70"/>
      <c r="AN87" s="71"/>
    </row>
    <row r="88" spans="1:40" x14ac:dyDescent="0.2">
      <c r="A88" s="32"/>
      <c r="B88" s="20"/>
      <c r="C88" s="20"/>
      <c r="D88" s="20">
        <v>9</v>
      </c>
      <c r="E88" s="20"/>
      <c r="F88" s="34" t="e">
        <f t="shared" si="11"/>
        <v>#DIV/0!</v>
      </c>
      <c r="G88" s="20" t="e">
        <f t="shared" si="7"/>
        <v>#DIV/0!</v>
      </c>
      <c r="H88" s="20" t="e">
        <f t="shared" si="8"/>
        <v>#DIV/0!</v>
      </c>
      <c r="I88" s="20" t="e">
        <f t="shared" si="9"/>
        <v>#DIV/0!</v>
      </c>
      <c r="J88" s="20" t="e">
        <f t="shared" si="10"/>
        <v>#DIV/0!</v>
      </c>
      <c r="K88" s="33"/>
      <c r="L88" s="20"/>
      <c r="M88" s="20"/>
      <c r="N88" s="20"/>
      <c r="O88" s="20"/>
      <c r="P88" s="20"/>
      <c r="Q88" s="20"/>
      <c r="R88" s="20"/>
      <c r="S88" s="20"/>
      <c r="T88" s="20"/>
      <c r="U88" s="105">
        <f t="shared" si="6"/>
        <v>0</v>
      </c>
      <c r="V88" s="19">
        <v>12</v>
      </c>
      <c r="W88" s="106"/>
      <c r="AK88" s="71"/>
      <c r="AL88" s="71"/>
      <c r="AM88" s="70"/>
      <c r="AN88" s="71"/>
    </row>
    <row r="89" spans="1:40" x14ac:dyDescent="0.2">
      <c r="A89" s="32"/>
      <c r="B89" s="20"/>
      <c r="C89" s="20"/>
      <c r="D89" s="20">
        <v>10</v>
      </c>
      <c r="E89" s="20"/>
      <c r="F89" s="34" t="e">
        <f t="shared" si="11"/>
        <v>#DIV/0!</v>
      </c>
      <c r="G89" s="20" t="e">
        <f t="shared" si="7"/>
        <v>#DIV/0!</v>
      </c>
      <c r="H89" s="20" t="e">
        <f t="shared" si="8"/>
        <v>#DIV/0!</v>
      </c>
      <c r="I89" s="20" t="e">
        <f t="shared" si="9"/>
        <v>#DIV/0!</v>
      </c>
      <c r="J89" s="20" t="e">
        <f t="shared" si="10"/>
        <v>#DIV/0!</v>
      </c>
      <c r="K89" s="33"/>
      <c r="L89" s="20"/>
      <c r="M89" s="20"/>
      <c r="N89" s="20"/>
      <c r="O89" s="20"/>
      <c r="P89" s="20"/>
      <c r="Q89" s="20"/>
      <c r="R89" s="20"/>
      <c r="S89" s="20"/>
      <c r="T89" s="20"/>
      <c r="U89" s="105">
        <f t="shared" si="6"/>
        <v>0</v>
      </c>
      <c r="V89" s="19">
        <v>13</v>
      </c>
      <c r="W89" s="106"/>
      <c r="AK89" s="71"/>
      <c r="AL89" s="71"/>
      <c r="AM89" s="70"/>
      <c r="AN89" s="71"/>
    </row>
    <row r="90" spans="1:40" x14ac:dyDescent="0.2">
      <c r="A90" s="32"/>
      <c r="B90" s="20"/>
      <c r="C90" s="20"/>
      <c r="D90" s="20">
        <v>11</v>
      </c>
      <c r="E90" s="20"/>
      <c r="F90" s="34" t="e">
        <f t="shared" si="11"/>
        <v>#DIV/0!</v>
      </c>
      <c r="G90" s="20" t="e">
        <f t="shared" si="7"/>
        <v>#DIV/0!</v>
      </c>
      <c r="H90" s="20" t="e">
        <f t="shared" si="8"/>
        <v>#DIV/0!</v>
      </c>
      <c r="I90" s="20" t="e">
        <f t="shared" si="9"/>
        <v>#DIV/0!</v>
      </c>
      <c r="J90" s="20" t="e">
        <f t="shared" si="10"/>
        <v>#DIV/0!</v>
      </c>
      <c r="K90" s="33"/>
      <c r="L90" s="20"/>
      <c r="M90" s="60"/>
      <c r="N90" s="27"/>
      <c r="O90" s="27" t="s">
        <v>98</v>
      </c>
      <c r="P90" s="27"/>
      <c r="Q90" s="27"/>
      <c r="R90" s="27"/>
      <c r="S90" s="28"/>
      <c r="T90" s="20"/>
      <c r="U90" s="105">
        <f t="shared" si="6"/>
        <v>0</v>
      </c>
      <c r="V90" s="19">
        <v>14</v>
      </c>
      <c r="W90" s="109"/>
      <c r="AK90" s="71"/>
      <c r="AL90" s="71"/>
      <c r="AM90" s="70"/>
      <c r="AN90" s="71"/>
    </row>
    <row r="91" spans="1:40" x14ac:dyDescent="0.2">
      <c r="A91" s="32"/>
      <c r="B91" s="20"/>
      <c r="C91" s="20"/>
      <c r="D91" s="20">
        <v>12</v>
      </c>
      <c r="E91" s="20"/>
      <c r="F91" s="34" t="e">
        <f t="shared" si="11"/>
        <v>#DIV/0!</v>
      </c>
      <c r="G91" s="20" t="e">
        <f t="shared" si="7"/>
        <v>#DIV/0!</v>
      </c>
      <c r="H91" s="20" t="e">
        <f t="shared" si="8"/>
        <v>#DIV/0!</v>
      </c>
      <c r="I91" s="20" t="e">
        <f t="shared" si="9"/>
        <v>#DIV/0!</v>
      </c>
      <c r="J91" s="20" t="e">
        <f t="shared" si="10"/>
        <v>#DIV/0!</v>
      </c>
      <c r="K91" s="33"/>
      <c r="L91" s="20"/>
      <c r="M91" s="32"/>
      <c r="N91" s="20"/>
      <c r="O91" s="20" t="s">
        <v>9</v>
      </c>
      <c r="P91" s="20"/>
      <c r="Q91" s="20"/>
      <c r="R91" s="20"/>
      <c r="S91" s="33"/>
      <c r="T91" s="20"/>
      <c r="U91" s="105">
        <f t="shared" si="6"/>
        <v>0</v>
      </c>
      <c r="V91" s="19">
        <v>15</v>
      </c>
      <c r="W91" s="106"/>
      <c r="AK91" s="71"/>
      <c r="AL91" s="71"/>
      <c r="AM91" s="70"/>
      <c r="AN91" s="71"/>
    </row>
    <row r="92" spans="1:40" x14ac:dyDescent="0.2">
      <c r="A92" s="32"/>
      <c r="B92" s="20"/>
      <c r="C92" s="20"/>
      <c r="D92" s="20">
        <v>13</v>
      </c>
      <c r="E92" s="20"/>
      <c r="F92" s="34" t="e">
        <f t="shared" si="11"/>
        <v>#DIV/0!</v>
      </c>
      <c r="G92" s="20" t="e">
        <f t="shared" si="7"/>
        <v>#DIV/0!</v>
      </c>
      <c r="H92" s="20" t="e">
        <f t="shared" si="8"/>
        <v>#DIV/0!</v>
      </c>
      <c r="I92" s="20" t="e">
        <f t="shared" si="9"/>
        <v>#DIV/0!</v>
      </c>
      <c r="J92" s="20" t="e">
        <f t="shared" si="10"/>
        <v>#DIV/0!</v>
      </c>
      <c r="K92" s="33"/>
      <c r="L92" s="20"/>
      <c r="M92" s="32"/>
      <c r="N92" s="20"/>
      <c r="O92" s="20" t="s">
        <v>99</v>
      </c>
      <c r="P92" s="20" t="s">
        <v>100</v>
      </c>
      <c r="Q92" s="20"/>
      <c r="R92" s="20"/>
      <c r="S92" s="33"/>
      <c r="T92" s="20"/>
      <c r="U92" s="105">
        <f t="shared" si="6"/>
        <v>0</v>
      </c>
      <c r="V92" s="19">
        <v>16</v>
      </c>
      <c r="W92" s="106"/>
      <c r="AK92" s="71"/>
      <c r="AL92" s="71"/>
      <c r="AM92" s="70"/>
      <c r="AN92" s="71"/>
    </row>
    <row r="93" spans="1:40" x14ac:dyDescent="0.2">
      <c r="A93" s="32"/>
      <c r="B93" s="20" t="s">
        <v>101</v>
      </c>
      <c r="C93" s="20"/>
      <c r="D93" s="20">
        <v>14</v>
      </c>
      <c r="E93" s="20"/>
      <c r="F93" s="34" t="e">
        <f t="shared" si="11"/>
        <v>#DIV/0!</v>
      </c>
      <c r="G93" s="20" t="e">
        <f t="shared" si="7"/>
        <v>#DIV/0!</v>
      </c>
      <c r="H93" s="20" t="e">
        <f t="shared" si="8"/>
        <v>#DIV/0!</v>
      </c>
      <c r="I93" s="20" t="e">
        <f t="shared" si="9"/>
        <v>#DIV/0!</v>
      </c>
      <c r="J93" s="20" t="e">
        <f t="shared" si="10"/>
        <v>#DIV/0!</v>
      </c>
      <c r="K93" s="33"/>
      <c r="L93" s="20"/>
      <c r="M93" s="32"/>
      <c r="N93" s="20"/>
      <c r="O93" s="20" t="s">
        <v>102</v>
      </c>
      <c r="P93" s="20" t="s">
        <v>103</v>
      </c>
      <c r="Q93" s="20" t="s">
        <v>104</v>
      </c>
      <c r="R93" s="20"/>
      <c r="S93" s="33"/>
      <c r="T93" s="20"/>
      <c r="U93" s="105">
        <f t="shared" si="6"/>
        <v>0</v>
      </c>
      <c r="V93" s="19">
        <v>17</v>
      </c>
      <c r="W93" s="106"/>
      <c r="AK93" s="71"/>
      <c r="AL93" s="71"/>
      <c r="AM93" s="70"/>
      <c r="AN93" s="71"/>
    </row>
    <row r="94" spans="1:40" x14ac:dyDescent="0.2">
      <c r="A94" s="32"/>
      <c r="B94" s="20" t="b">
        <f>ISNUMBER(B3)</f>
        <v>0</v>
      </c>
      <c r="C94" s="20"/>
      <c r="D94" s="20">
        <v>15</v>
      </c>
      <c r="E94" s="20"/>
      <c r="F94" s="34" t="e">
        <f t="shared" si="11"/>
        <v>#DIV/0!</v>
      </c>
      <c r="G94" s="20" t="e">
        <f t="shared" si="7"/>
        <v>#DIV/0!</v>
      </c>
      <c r="H94" s="20" t="e">
        <f t="shared" si="8"/>
        <v>#DIV/0!</v>
      </c>
      <c r="I94" s="20" t="e">
        <f t="shared" si="9"/>
        <v>#DIV/0!</v>
      </c>
      <c r="J94" s="20" t="e">
        <f t="shared" si="10"/>
        <v>#DIV/0!</v>
      </c>
      <c r="K94" s="33"/>
      <c r="L94" s="20"/>
      <c r="M94" s="32">
        <v>1</v>
      </c>
      <c r="N94" s="20"/>
      <c r="O94" s="34">
        <f t="shared" ref="O94:O143" si="12">B3</f>
        <v>0</v>
      </c>
      <c r="P94" s="35">
        <f t="shared" ref="P94:P143" si="13">IF(B94=TRUE,O94-$AC$6,0)</f>
        <v>0</v>
      </c>
      <c r="Q94" s="110" t="s">
        <v>105</v>
      </c>
      <c r="R94" s="174">
        <f>SUM(B3:B27)</f>
        <v>0</v>
      </c>
      <c r="S94" s="175"/>
      <c r="T94" s="20"/>
      <c r="U94" s="105">
        <f t="shared" si="6"/>
        <v>0</v>
      </c>
      <c r="V94" s="19">
        <v>18</v>
      </c>
      <c r="W94" s="106"/>
      <c r="AK94" s="71"/>
      <c r="AL94" s="71"/>
      <c r="AM94" s="70"/>
      <c r="AN94" s="71"/>
    </row>
    <row r="95" spans="1:40" x14ac:dyDescent="0.2">
      <c r="A95" s="32"/>
      <c r="B95" s="20" t="b">
        <f>ISNUMBER(B4)</f>
        <v>0</v>
      </c>
      <c r="C95" s="20"/>
      <c r="D95" s="20">
        <v>16</v>
      </c>
      <c r="E95" s="20"/>
      <c r="F95" s="34" t="e">
        <f t="shared" si="11"/>
        <v>#DIV/0!</v>
      </c>
      <c r="G95" s="20" t="e">
        <f t="shared" si="7"/>
        <v>#DIV/0!</v>
      </c>
      <c r="H95" s="20" t="e">
        <f t="shared" si="8"/>
        <v>#DIV/0!</v>
      </c>
      <c r="I95" s="20" t="e">
        <f t="shared" si="9"/>
        <v>#DIV/0!</v>
      </c>
      <c r="J95" s="20" t="e">
        <f t="shared" si="10"/>
        <v>#DIV/0!</v>
      </c>
      <c r="K95" s="33"/>
      <c r="L95" s="20"/>
      <c r="M95" s="32">
        <v>2</v>
      </c>
      <c r="N95" s="20"/>
      <c r="O95" s="34">
        <f t="shared" si="12"/>
        <v>0</v>
      </c>
      <c r="P95" s="35">
        <f t="shared" si="13"/>
        <v>0</v>
      </c>
      <c r="Q95" s="20" t="s">
        <v>106</v>
      </c>
      <c r="R95" s="174">
        <f>SUM(B28:B52)</f>
        <v>0</v>
      </c>
      <c r="S95" s="175"/>
      <c r="T95" s="20"/>
      <c r="U95" s="105">
        <f t="shared" si="6"/>
        <v>0</v>
      </c>
      <c r="V95" s="19">
        <v>19</v>
      </c>
      <c r="W95" s="106"/>
      <c r="AK95" s="71"/>
      <c r="AL95" s="71"/>
      <c r="AM95" s="70"/>
      <c r="AN95" s="71"/>
    </row>
    <row r="96" spans="1:40" x14ac:dyDescent="0.2">
      <c r="A96" s="32"/>
      <c r="B96" s="20" t="b">
        <f>ISNUMBER(B5)</f>
        <v>0</v>
      </c>
      <c r="C96" s="20"/>
      <c r="D96" s="20">
        <v>17</v>
      </c>
      <c r="E96" s="20"/>
      <c r="F96" s="34" t="e">
        <f t="shared" si="11"/>
        <v>#DIV/0!</v>
      </c>
      <c r="G96" s="20" t="e">
        <f t="shared" si="7"/>
        <v>#DIV/0!</v>
      </c>
      <c r="H96" s="20" t="e">
        <f t="shared" si="8"/>
        <v>#DIV/0!</v>
      </c>
      <c r="I96" s="20" t="e">
        <f t="shared" si="9"/>
        <v>#DIV/0!</v>
      </c>
      <c r="J96" s="20" t="e">
        <f t="shared" si="10"/>
        <v>#DIV/0!</v>
      </c>
      <c r="K96" s="33"/>
      <c r="L96" s="20"/>
      <c r="M96" s="32">
        <v>3</v>
      </c>
      <c r="N96" s="20"/>
      <c r="O96" s="34">
        <f t="shared" si="12"/>
        <v>0</v>
      </c>
      <c r="P96" s="35">
        <f t="shared" si="13"/>
        <v>0</v>
      </c>
      <c r="Q96" s="20"/>
      <c r="R96" s="20"/>
      <c r="S96" s="33"/>
      <c r="T96" s="20"/>
      <c r="U96" s="105">
        <f t="shared" si="6"/>
        <v>0</v>
      </c>
      <c r="V96" s="19">
        <v>20</v>
      </c>
      <c r="W96" s="106"/>
      <c r="AK96" s="71"/>
      <c r="AL96" s="71"/>
      <c r="AM96" s="70"/>
      <c r="AN96" s="71"/>
    </row>
    <row r="97" spans="1:40" x14ac:dyDescent="0.2">
      <c r="A97" s="32"/>
      <c r="B97" s="20" t="b">
        <f>ISNUMBER(B6)</f>
        <v>0</v>
      </c>
      <c r="C97" s="20"/>
      <c r="D97" s="20">
        <v>18</v>
      </c>
      <c r="E97" s="20"/>
      <c r="F97" s="34" t="e">
        <f t="shared" si="11"/>
        <v>#DIV/0!</v>
      </c>
      <c r="G97" s="20" t="e">
        <f t="shared" si="7"/>
        <v>#DIV/0!</v>
      </c>
      <c r="H97" s="20" t="e">
        <f t="shared" si="8"/>
        <v>#DIV/0!</v>
      </c>
      <c r="I97" s="20" t="e">
        <f t="shared" si="9"/>
        <v>#DIV/0!</v>
      </c>
      <c r="J97" s="20" t="e">
        <f t="shared" si="10"/>
        <v>#DIV/0!</v>
      </c>
      <c r="K97" s="33"/>
      <c r="L97" s="20"/>
      <c r="M97" s="32">
        <v>4</v>
      </c>
      <c r="N97" s="20"/>
      <c r="O97" s="34">
        <f t="shared" si="12"/>
        <v>0</v>
      </c>
      <c r="P97" s="35">
        <f t="shared" si="13"/>
        <v>0</v>
      </c>
      <c r="Q97" s="20" t="s">
        <v>107</v>
      </c>
      <c r="R97" s="174">
        <f>SUM(R94:R95)</f>
        <v>0</v>
      </c>
      <c r="S97" s="175"/>
      <c r="T97" s="20"/>
      <c r="U97" s="105">
        <f t="shared" si="6"/>
        <v>0</v>
      </c>
      <c r="V97" s="19">
        <v>21</v>
      </c>
      <c r="W97" s="106"/>
      <c r="AK97" s="71"/>
      <c r="AL97" s="71"/>
      <c r="AM97" s="70"/>
      <c r="AN97" s="71"/>
    </row>
    <row r="98" spans="1:40" x14ac:dyDescent="0.2">
      <c r="A98" s="32"/>
      <c r="B98" s="20" t="b">
        <f>ISNUMBER(B7)</f>
        <v>0</v>
      </c>
      <c r="C98" s="20"/>
      <c r="D98" s="20">
        <v>19</v>
      </c>
      <c r="E98" s="20"/>
      <c r="F98" s="34" t="e">
        <f t="shared" si="11"/>
        <v>#DIV/0!</v>
      </c>
      <c r="G98" s="20" t="e">
        <f t="shared" si="7"/>
        <v>#DIV/0!</v>
      </c>
      <c r="H98" s="20" t="e">
        <f t="shared" si="8"/>
        <v>#DIV/0!</v>
      </c>
      <c r="I98" s="20" t="e">
        <f t="shared" si="9"/>
        <v>#DIV/0!</v>
      </c>
      <c r="J98" s="20" t="e">
        <f t="shared" si="10"/>
        <v>#DIV/0!</v>
      </c>
      <c r="K98" s="33"/>
      <c r="L98" s="20"/>
      <c r="M98" s="32">
        <v>5</v>
      </c>
      <c r="N98" s="20"/>
      <c r="O98" s="34">
        <f t="shared" si="12"/>
        <v>0</v>
      </c>
      <c r="P98" s="35">
        <f t="shared" si="13"/>
        <v>0</v>
      </c>
      <c r="Q98" s="20"/>
      <c r="R98" s="20"/>
      <c r="S98" s="33"/>
      <c r="T98" s="20"/>
      <c r="U98" s="105">
        <f t="shared" si="6"/>
        <v>0</v>
      </c>
      <c r="V98" s="19">
        <v>22</v>
      </c>
      <c r="W98" s="111" t="s">
        <v>61</v>
      </c>
      <c r="AK98" s="71"/>
      <c r="AL98" s="71"/>
      <c r="AM98" s="70"/>
      <c r="AN98" s="71"/>
    </row>
    <row r="99" spans="1:40" x14ac:dyDescent="0.2">
      <c r="A99" s="32"/>
      <c r="B99" s="20" t="b">
        <f t="shared" ref="B99:B117" si="14">ISNUMBER(B8)</f>
        <v>0</v>
      </c>
      <c r="C99" s="20"/>
      <c r="D99" s="20">
        <v>20</v>
      </c>
      <c r="E99" s="20"/>
      <c r="F99" s="34" t="e">
        <f t="shared" si="11"/>
        <v>#DIV/0!</v>
      </c>
      <c r="G99" s="20" t="e">
        <f t="shared" si="7"/>
        <v>#DIV/0!</v>
      </c>
      <c r="H99" s="20" t="e">
        <f t="shared" si="8"/>
        <v>#DIV/0!</v>
      </c>
      <c r="I99" s="20" t="e">
        <f t="shared" si="9"/>
        <v>#DIV/0!</v>
      </c>
      <c r="J99" s="20" t="e">
        <f t="shared" si="10"/>
        <v>#DIV/0!</v>
      </c>
      <c r="K99" s="33"/>
      <c r="L99" s="20"/>
      <c r="M99" s="32">
        <v>6</v>
      </c>
      <c r="N99" s="20"/>
      <c r="O99" s="34">
        <f t="shared" si="12"/>
        <v>0</v>
      </c>
      <c r="P99" s="35">
        <f t="shared" si="13"/>
        <v>0</v>
      </c>
      <c r="Q99" s="20"/>
      <c r="R99" s="20"/>
      <c r="S99" s="33"/>
      <c r="T99" s="20"/>
      <c r="U99" s="105">
        <f t="shared" si="6"/>
        <v>0</v>
      </c>
      <c r="V99" s="19">
        <v>23</v>
      </c>
      <c r="W99" s="112" t="s">
        <v>108</v>
      </c>
      <c r="AK99" s="71"/>
      <c r="AL99" s="71"/>
      <c r="AM99" s="70"/>
      <c r="AN99" s="71"/>
    </row>
    <row r="100" spans="1:40" x14ac:dyDescent="0.2">
      <c r="A100" s="32"/>
      <c r="B100" s="20" t="b">
        <f t="shared" si="14"/>
        <v>0</v>
      </c>
      <c r="C100" s="20"/>
      <c r="D100" s="20">
        <v>21</v>
      </c>
      <c r="E100" s="20"/>
      <c r="F100" s="34" t="e">
        <f t="shared" si="11"/>
        <v>#DIV/0!</v>
      </c>
      <c r="G100" s="20" t="e">
        <f t="shared" si="7"/>
        <v>#DIV/0!</v>
      </c>
      <c r="H100" s="20" t="e">
        <f t="shared" si="8"/>
        <v>#DIV/0!</v>
      </c>
      <c r="I100" s="20" t="e">
        <f t="shared" si="9"/>
        <v>#DIV/0!</v>
      </c>
      <c r="J100" s="20" t="e">
        <f t="shared" si="10"/>
        <v>#DIV/0!</v>
      </c>
      <c r="K100" s="33"/>
      <c r="L100" s="20"/>
      <c r="M100" s="32">
        <v>7</v>
      </c>
      <c r="N100" s="20"/>
      <c r="O100" s="34">
        <f t="shared" si="12"/>
        <v>0</v>
      </c>
      <c r="P100" s="35">
        <f t="shared" si="13"/>
        <v>0</v>
      </c>
      <c r="Q100" s="20" t="s">
        <v>109</v>
      </c>
      <c r="R100" s="20"/>
      <c r="S100" s="33"/>
      <c r="T100" s="20"/>
      <c r="U100" s="105">
        <f t="shared" si="6"/>
        <v>0</v>
      </c>
      <c r="V100" s="19">
        <v>24</v>
      </c>
      <c r="W100" s="113" t="s">
        <v>110</v>
      </c>
      <c r="AK100" s="71"/>
      <c r="AL100" s="71"/>
      <c r="AM100" s="70"/>
      <c r="AN100" s="71"/>
    </row>
    <row r="101" spans="1:40" x14ac:dyDescent="0.2">
      <c r="A101" s="32"/>
      <c r="B101" s="20" t="b">
        <f t="shared" si="14"/>
        <v>0</v>
      </c>
      <c r="C101" s="20"/>
      <c r="D101" s="20">
        <v>22</v>
      </c>
      <c r="E101" s="20"/>
      <c r="F101" s="34" t="e">
        <f t="shared" si="11"/>
        <v>#DIV/0!</v>
      </c>
      <c r="G101" s="20" t="e">
        <f t="shared" si="7"/>
        <v>#DIV/0!</v>
      </c>
      <c r="H101" s="20" t="e">
        <f t="shared" si="8"/>
        <v>#DIV/0!</v>
      </c>
      <c r="I101" s="20" t="e">
        <f t="shared" si="9"/>
        <v>#DIV/0!</v>
      </c>
      <c r="J101" s="20" t="e">
        <f t="shared" si="10"/>
        <v>#DIV/0!</v>
      </c>
      <c r="K101" s="33"/>
      <c r="L101" s="20"/>
      <c r="M101" s="32">
        <v>8</v>
      </c>
      <c r="N101" s="20"/>
      <c r="O101" s="34">
        <f t="shared" si="12"/>
        <v>0</v>
      </c>
      <c r="P101" s="35">
        <f t="shared" si="13"/>
        <v>0</v>
      </c>
      <c r="Q101" s="20" t="s">
        <v>111</v>
      </c>
      <c r="R101" s="20"/>
      <c r="S101" s="33"/>
      <c r="T101" s="20"/>
      <c r="U101" s="105">
        <f t="shared" si="6"/>
        <v>0</v>
      </c>
      <c r="V101" s="19">
        <v>25</v>
      </c>
      <c r="W101" s="112">
        <f>SUM(U77:U101)</f>
        <v>0</v>
      </c>
      <c r="AK101" s="71"/>
      <c r="AL101" s="71"/>
      <c r="AM101" s="70"/>
      <c r="AN101" s="71"/>
    </row>
    <row r="102" spans="1:40" x14ac:dyDescent="0.2">
      <c r="A102" s="32"/>
      <c r="B102" s="20" t="b">
        <f t="shared" si="14"/>
        <v>0</v>
      </c>
      <c r="C102" s="20"/>
      <c r="D102" s="20">
        <v>23</v>
      </c>
      <c r="E102" s="20"/>
      <c r="F102" s="34" t="e">
        <f t="shared" si="11"/>
        <v>#DIV/0!</v>
      </c>
      <c r="G102" s="20" t="e">
        <f t="shared" si="7"/>
        <v>#DIV/0!</v>
      </c>
      <c r="H102" s="20" t="e">
        <f t="shared" si="8"/>
        <v>#DIV/0!</v>
      </c>
      <c r="I102" s="20" t="e">
        <f t="shared" si="9"/>
        <v>#DIV/0!</v>
      </c>
      <c r="J102" s="20" t="e">
        <f t="shared" si="10"/>
        <v>#DIV/0!</v>
      </c>
      <c r="K102" s="33"/>
      <c r="L102" s="20"/>
      <c r="M102" s="32">
        <v>9</v>
      </c>
      <c r="N102" s="20"/>
      <c r="O102" s="34">
        <f t="shared" si="12"/>
        <v>0</v>
      </c>
      <c r="P102" s="35">
        <f t="shared" si="13"/>
        <v>0</v>
      </c>
      <c r="Q102" s="110" t="s">
        <v>105</v>
      </c>
      <c r="R102" s="46">
        <f>SUMSQ(P94:P118)</f>
        <v>0</v>
      </c>
      <c r="S102" s="33"/>
      <c r="T102" s="20"/>
      <c r="U102" s="102">
        <f t="shared" si="6"/>
        <v>0</v>
      </c>
      <c r="V102" s="103">
        <v>26</v>
      </c>
      <c r="W102" s="111" t="s">
        <v>61</v>
      </c>
      <c r="AK102" s="71"/>
      <c r="AL102" s="71"/>
      <c r="AM102" s="70"/>
      <c r="AN102" s="71"/>
    </row>
    <row r="103" spans="1:40" x14ac:dyDescent="0.2">
      <c r="A103" s="32"/>
      <c r="B103" s="20" t="b">
        <f t="shared" si="14"/>
        <v>0</v>
      </c>
      <c r="C103" s="20"/>
      <c r="D103" s="20">
        <v>24</v>
      </c>
      <c r="E103" s="20"/>
      <c r="F103" s="34" t="e">
        <f t="shared" si="11"/>
        <v>#DIV/0!</v>
      </c>
      <c r="G103" s="20" t="e">
        <f t="shared" si="7"/>
        <v>#DIV/0!</v>
      </c>
      <c r="H103" s="20" t="e">
        <f t="shared" si="8"/>
        <v>#DIV/0!</v>
      </c>
      <c r="I103" s="20" t="e">
        <f t="shared" si="9"/>
        <v>#DIV/0!</v>
      </c>
      <c r="J103" s="20" t="e">
        <f t="shared" si="10"/>
        <v>#DIV/0!</v>
      </c>
      <c r="K103" s="33"/>
      <c r="L103" s="20"/>
      <c r="M103" s="32">
        <v>10</v>
      </c>
      <c r="N103" s="20"/>
      <c r="O103" s="34">
        <f t="shared" si="12"/>
        <v>0</v>
      </c>
      <c r="P103" s="35">
        <f t="shared" si="13"/>
        <v>0</v>
      </c>
      <c r="Q103" s="20" t="s">
        <v>106</v>
      </c>
      <c r="R103" s="46">
        <f>SUMSQ(P119:P143)</f>
        <v>0</v>
      </c>
      <c r="S103" s="33"/>
      <c r="T103" s="20"/>
      <c r="U103" s="105">
        <f t="shared" si="6"/>
        <v>0</v>
      </c>
      <c r="V103" s="19">
        <v>27</v>
      </c>
      <c r="W103" s="112" t="s">
        <v>102</v>
      </c>
      <c r="AK103" s="71"/>
      <c r="AL103" s="71"/>
      <c r="AM103" s="70"/>
      <c r="AN103" s="71"/>
    </row>
    <row r="104" spans="1:40" x14ac:dyDescent="0.2">
      <c r="A104" s="32"/>
      <c r="B104" s="20" t="b">
        <f t="shared" si="14"/>
        <v>0</v>
      </c>
      <c r="C104" s="20"/>
      <c r="D104" s="20">
        <v>25</v>
      </c>
      <c r="E104" s="20"/>
      <c r="F104" s="34" t="e">
        <f t="shared" si="11"/>
        <v>#DIV/0!</v>
      </c>
      <c r="G104" s="20" t="e">
        <f t="shared" si="7"/>
        <v>#DIV/0!</v>
      </c>
      <c r="H104" s="20" t="e">
        <f t="shared" si="8"/>
        <v>#DIV/0!</v>
      </c>
      <c r="I104" s="20" t="e">
        <f t="shared" si="9"/>
        <v>#DIV/0!</v>
      </c>
      <c r="J104" s="20" t="e">
        <f t="shared" si="10"/>
        <v>#DIV/0!</v>
      </c>
      <c r="K104" s="33"/>
      <c r="L104" s="20"/>
      <c r="M104" s="32">
        <v>11</v>
      </c>
      <c r="N104" s="20"/>
      <c r="O104" s="34">
        <f t="shared" si="12"/>
        <v>0</v>
      </c>
      <c r="P104" s="35">
        <f t="shared" si="13"/>
        <v>0</v>
      </c>
      <c r="Q104" s="20"/>
      <c r="R104" s="20"/>
      <c r="S104" s="33"/>
      <c r="T104" s="20"/>
      <c r="U104" s="105">
        <f t="shared" si="6"/>
        <v>0</v>
      </c>
      <c r="V104" s="19">
        <v>28</v>
      </c>
      <c r="W104" s="112" t="s">
        <v>112</v>
      </c>
      <c r="AK104" s="71"/>
      <c r="AL104" s="71"/>
      <c r="AM104" s="70"/>
      <c r="AN104" s="71"/>
    </row>
    <row r="105" spans="1:40" x14ac:dyDescent="0.2">
      <c r="A105" s="32"/>
      <c r="B105" s="20" t="b">
        <f t="shared" si="14"/>
        <v>0</v>
      </c>
      <c r="C105" s="20"/>
      <c r="D105" s="20">
        <v>26</v>
      </c>
      <c r="E105" s="20"/>
      <c r="F105" s="34" t="e">
        <f t="shared" si="11"/>
        <v>#DIV/0!</v>
      </c>
      <c r="G105" s="20" t="e">
        <f t="shared" si="7"/>
        <v>#DIV/0!</v>
      </c>
      <c r="H105" s="20" t="e">
        <f t="shared" si="8"/>
        <v>#DIV/0!</v>
      </c>
      <c r="I105" s="20" t="e">
        <f t="shared" si="9"/>
        <v>#DIV/0!</v>
      </c>
      <c r="J105" s="20" t="e">
        <f t="shared" si="10"/>
        <v>#DIV/0!</v>
      </c>
      <c r="K105" s="33"/>
      <c r="L105" s="20"/>
      <c r="M105" s="32">
        <v>12</v>
      </c>
      <c r="N105" s="20"/>
      <c r="O105" s="34">
        <f t="shared" si="12"/>
        <v>0</v>
      </c>
      <c r="P105" s="35">
        <f t="shared" si="13"/>
        <v>0</v>
      </c>
      <c r="Q105" s="20" t="s">
        <v>107</v>
      </c>
      <c r="R105" s="46">
        <f>SUM(R102,R103)</f>
        <v>0</v>
      </c>
      <c r="S105" s="33"/>
      <c r="T105" s="20"/>
      <c r="U105" s="105">
        <f t="shared" si="6"/>
        <v>0</v>
      </c>
      <c r="V105" s="19">
        <v>29</v>
      </c>
      <c r="W105" s="114">
        <f>SUM(U77:U126)</f>
        <v>0</v>
      </c>
      <c r="AK105" s="71"/>
      <c r="AL105" s="71"/>
      <c r="AM105" s="70"/>
      <c r="AN105" s="71"/>
    </row>
    <row r="106" spans="1:40" x14ac:dyDescent="0.2">
      <c r="A106" s="32"/>
      <c r="B106" s="20" t="b">
        <f t="shared" si="14"/>
        <v>0</v>
      </c>
      <c r="C106" s="20"/>
      <c r="D106" s="20">
        <v>27</v>
      </c>
      <c r="E106" s="20"/>
      <c r="F106" s="34" t="e">
        <f t="shared" si="11"/>
        <v>#DIV/0!</v>
      </c>
      <c r="G106" s="20" t="e">
        <f t="shared" si="7"/>
        <v>#DIV/0!</v>
      </c>
      <c r="H106" s="20" t="e">
        <f t="shared" si="8"/>
        <v>#DIV/0!</v>
      </c>
      <c r="I106" s="20" t="e">
        <f t="shared" si="9"/>
        <v>#DIV/0!</v>
      </c>
      <c r="J106" s="20" t="e">
        <f t="shared" si="10"/>
        <v>#DIV/0!</v>
      </c>
      <c r="K106" s="33"/>
      <c r="L106" s="20"/>
      <c r="M106" s="32">
        <v>13</v>
      </c>
      <c r="N106" s="20"/>
      <c r="O106" s="34">
        <f t="shared" si="12"/>
        <v>0</v>
      </c>
      <c r="P106" s="35">
        <f t="shared" si="13"/>
        <v>0</v>
      </c>
      <c r="Q106" s="20"/>
      <c r="R106" s="20"/>
      <c r="S106" s="33"/>
      <c r="T106" s="20"/>
      <c r="U106" s="105">
        <f t="shared" si="6"/>
        <v>0</v>
      </c>
      <c r="V106" s="19">
        <v>30</v>
      </c>
      <c r="W106" s="106"/>
      <c r="AK106" s="71"/>
      <c r="AL106" s="71"/>
      <c r="AM106" s="70"/>
      <c r="AN106" s="71"/>
    </row>
    <row r="107" spans="1:40" x14ac:dyDescent="0.2">
      <c r="A107" s="32"/>
      <c r="B107" s="20" t="b">
        <f t="shared" si="14"/>
        <v>0</v>
      </c>
      <c r="C107" s="20"/>
      <c r="D107" s="20">
        <v>28</v>
      </c>
      <c r="E107" s="20"/>
      <c r="F107" s="34" t="e">
        <f t="shared" si="11"/>
        <v>#DIV/0!</v>
      </c>
      <c r="G107" s="20" t="e">
        <f t="shared" si="7"/>
        <v>#DIV/0!</v>
      </c>
      <c r="H107" s="20" t="e">
        <f t="shared" si="8"/>
        <v>#DIV/0!</v>
      </c>
      <c r="I107" s="20" t="e">
        <f t="shared" si="9"/>
        <v>#DIV/0!</v>
      </c>
      <c r="J107" s="20" t="e">
        <f t="shared" si="10"/>
        <v>#DIV/0!</v>
      </c>
      <c r="K107" s="33"/>
      <c r="L107" s="20"/>
      <c r="M107" s="32">
        <v>14</v>
      </c>
      <c r="N107" s="20"/>
      <c r="O107" s="34">
        <f t="shared" si="12"/>
        <v>0</v>
      </c>
      <c r="P107" s="35">
        <f t="shared" si="13"/>
        <v>0</v>
      </c>
      <c r="Q107" s="20"/>
      <c r="R107" s="20"/>
      <c r="S107" s="33"/>
      <c r="T107" s="20"/>
      <c r="U107" s="105">
        <f t="shared" si="6"/>
        <v>0</v>
      </c>
      <c r="V107" s="19">
        <v>31</v>
      </c>
      <c r="W107" s="106"/>
      <c r="AK107" s="71"/>
      <c r="AL107" s="71"/>
      <c r="AM107" s="70"/>
      <c r="AN107" s="71"/>
    </row>
    <row r="108" spans="1:40" x14ac:dyDescent="0.2">
      <c r="A108" s="32"/>
      <c r="B108" s="20" t="b">
        <f t="shared" si="14"/>
        <v>0</v>
      </c>
      <c r="C108" s="20"/>
      <c r="D108" s="20">
        <v>29</v>
      </c>
      <c r="E108" s="20"/>
      <c r="F108" s="34" t="e">
        <f t="shared" si="11"/>
        <v>#DIV/0!</v>
      </c>
      <c r="G108" s="20" t="e">
        <f t="shared" si="7"/>
        <v>#DIV/0!</v>
      </c>
      <c r="H108" s="20" t="e">
        <f t="shared" si="8"/>
        <v>#DIV/0!</v>
      </c>
      <c r="I108" s="20" t="e">
        <f t="shared" si="9"/>
        <v>#DIV/0!</v>
      </c>
      <c r="J108" s="20" t="e">
        <f t="shared" si="10"/>
        <v>#DIV/0!</v>
      </c>
      <c r="K108" s="33"/>
      <c r="L108" s="20"/>
      <c r="M108" s="32">
        <v>15</v>
      </c>
      <c r="N108" s="20"/>
      <c r="O108" s="34">
        <f t="shared" si="12"/>
        <v>0</v>
      </c>
      <c r="P108" s="35">
        <f t="shared" si="13"/>
        <v>0</v>
      </c>
      <c r="Q108" s="20" t="s">
        <v>61</v>
      </c>
      <c r="R108" s="20"/>
      <c r="S108" s="33"/>
      <c r="T108" s="20"/>
      <c r="U108" s="105">
        <f t="shared" si="6"/>
        <v>0</v>
      </c>
      <c r="V108" s="19">
        <v>32</v>
      </c>
      <c r="W108" s="106"/>
      <c r="AK108" s="71"/>
      <c r="AL108" s="71"/>
      <c r="AM108" s="70"/>
      <c r="AN108" s="71"/>
    </row>
    <row r="109" spans="1:40" x14ac:dyDescent="0.2">
      <c r="A109" s="32"/>
      <c r="B109" s="20" t="b">
        <f t="shared" si="14"/>
        <v>0</v>
      </c>
      <c r="C109" s="20"/>
      <c r="D109" s="20">
        <v>30</v>
      </c>
      <c r="E109" s="20"/>
      <c r="F109" s="34" t="e">
        <f t="shared" si="11"/>
        <v>#DIV/0!</v>
      </c>
      <c r="G109" s="20" t="e">
        <f t="shared" si="7"/>
        <v>#DIV/0!</v>
      </c>
      <c r="H109" s="20" t="e">
        <f t="shared" si="8"/>
        <v>#DIV/0!</v>
      </c>
      <c r="I109" s="20" t="e">
        <f t="shared" si="9"/>
        <v>#DIV/0!</v>
      </c>
      <c r="J109" s="20" t="e">
        <f t="shared" si="10"/>
        <v>#DIV/0!</v>
      </c>
      <c r="K109" s="33"/>
      <c r="L109" s="20"/>
      <c r="M109" s="32">
        <v>16</v>
      </c>
      <c r="N109" s="20"/>
      <c r="O109" s="34">
        <f t="shared" si="12"/>
        <v>0</v>
      </c>
      <c r="P109" s="35">
        <f t="shared" si="13"/>
        <v>0</v>
      </c>
      <c r="Q109" s="110" t="s">
        <v>105</v>
      </c>
      <c r="R109" s="46">
        <f>COUNT(B3:B27)</f>
        <v>0</v>
      </c>
      <c r="S109" s="33"/>
      <c r="T109" s="20"/>
      <c r="U109" s="105">
        <f t="shared" si="6"/>
        <v>0</v>
      </c>
      <c r="V109" s="19">
        <v>33</v>
      </c>
      <c r="W109" s="106"/>
      <c r="AK109" s="71"/>
      <c r="AL109" s="71"/>
      <c r="AM109" s="70"/>
      <c r="AN109" s="71"/>
    </row>
    <row r="110" spans="1:40" x14ac:dyDescent="0.2">
      <c r="A110" s="32"/>
      <c r="B110" s="20" t="b">
        <f t="shared" si="14"/>
        <v>0</v>
      </c>
      <c r="C110" s="20"/>
      <c r="D110" s="20">
        <v>31</v>
      </c>
      <c r="E110" s="20"/>
      <c r="F110" s="34" t="e">
        <f t="shared" si="11"/>
        <v>#DIV/0!</v>
      </c>
      <c r="G110" s="20" t="e">
        <f t="shared" si="7"/>
        <v>#DIV/0!</v>
      </c>
      <c r="H110" s="20" t="e">
        <f t="shared" si="8"/>
        <v>#DIV/0!</v>
      </c>
      <c r="I110" s="20" t="e">
        <f t="shared" si="9"/>
        <v>#DIV/0!</v>
      </c>
      <c r="J110" s="20" t="e">
        <f t="shared" si="10"/>
        <v>#DIV/0!</v>
      </c>
      <c r="K110" s="33"/>
      <c r="L110" s="20"/>
      <c r="M110" s="32">
        <v>17</v>
      </c>
      <c r="N110" s="20"/>
      <c r="O110" s="34">
        <f t="shared" si="12"/>
        <v>0</v>
      </c>
      <c r="P110" s="35">
        <f t="shared" si="13"/>
        <v>0</v>
      </c>
      <c r="Q110" s="20" t="s">
        <v>106</v>
      </c>
      <c r="R110" s="46">
        <f>COUNT(B28:B52)</f>
        <v>0</v>
      </c>
      <c r="S110" s="33"/>
      <c r="T110" s="20"/>
      <c r="U110" s="105">
        <f t="shared" si="6"/>
        <v>0</v>
      </c>
      <c r="V110" s="19">
        <v>34</v>
      </c>
      <c r="W110" s="106"/>
      <c r="AK110" s="71"/>
      <c r="AL110" s="71"/>
      <c r="AM110" s="70"/>
      <c r="AN110" s="71"/>
    </row>
    <row r="111" spans="1:40" x14ac:dyDescent="0.2">
      <c r="A111" s="32"/>
      <c r="B111" s="20" t="b">
        <f t="shared" si="14"/>
        <v>0</v>
      </c>
      <c r="C111" s="20"/>
      <c r="D111" s="20">
        <v>32</v>
      </c>
      <c r="E111" s="20"/>
      <c r="F111" s="34" t="e">
        <f t="shared" si="11"/>
        <v>#DIV/0!</v>
      </c>
      <c r="G111" s="20" t="e">
        <f t="shared" si="7"/>
        <v>#DIV/0!</v>
      </c>
      <c r="H111" s="20" t="e">
        <f t="shared" si="8"/>
        <v>#DIV/0!</v>
      </c>
      <c r="I111" s="20" t="e">
        <f t="shared" si="9"/>
        <v>#DIV/0!</v>
      </c>
      <c r="J111" s="20" t="e">
        <f t="shared" si="10"/>
        <v>#DIV/0!</v>
      </c>
      <c r="K111" s="33"/>
      <c r="L111" s="20"/>
      <c r="M111" s="32">
        <v>18</v>
      </c>
      <c r="N111" s="20"/>
      <c r="O111" s="34">
        <f t="shared" si="12"/>
        <v>0</v>
      </c>
      <c r="P111" s="35">
        <f t="shared" si="13"/>
        <v>0</v>
      </c>
      <c r="Q111" s="20"/>
      <c r="R111" s="20"/>
      <c r="S111" s="33"/>
      <c r="T111" s="20"/>
      <c r="U111" s="105">
        <f t="shared" si="6"/>
        <v>0</v>
      </c>
      <c r="V111" s="19">
        <v>35</v>
      </c>
      <c r="W111" s="106"/>
    </row>
    <row r="112" spans="1:40" x14ac:dyDescent="0.2">
      <c r="A112" s="32"/>
      <c r="B112" s="20" t="b">
        <f t="shared" si="14"/>
        <v>0</v>
      </c>
      <c r="C112" s="20"/>
      <c r="D112" s="20">
        <v>33</v>
      </c>
      <c r="E112" s="20"/>
      <c r="F112" s="34" t="e">
        <f t="shared" si="11"/>
        <v>#DIV/0!</v>
      </c>
      <c r="G112" s="20" t="e">
        <f t="shared" si="7"/>
        <v>#DIV/0!</v>
      </c>
      <c r="H112" s="20" t="e">
        <f t="shared" si="8"/>
        <v>#DIV/0!</v>
      </c>
      <c r="I112" s="20" t="e">
        <f t="shared" si="9"/>
        <v>#DIV/0!</v>
      </c>
      <c r="J112" s="20" t="e">
        <f t="shared" si="10"/>
        <v>#DIV/0!</v>
      </c>
      <c r="K112" s="33"/>
      <c r="L112" s="20"/>
      <c r="M112" s="32">
        <v>19</v>
      </c>
      <c r="N112" s="20"/>
      <c r="O112" s="34">
        <f t="shared" si="12"/>
        <v>0</v>
      </c>
      <c r="P112" s="35">
        <f t="shared" si="13"/>
        <v>0</v>
      </c>
      <c r="Q112" s="20" t="s">
        <v>107</v>
      </c>
      <c r="R112" s="46">
        <f>SUM(R109,R110)</f>
        <v>0</v>
      </c>
      <c r="S112" s="33"/>
      <c r="T112" s="20"/>
      <c r="U112" s="105">
        <f t="shared" si="6"/>
        <v>0</v>
      </c>
      <c r="V112" s="19">
        <v>36</v>
      </c>
      <c r="W112" s="106"/>
    </row>
    <row r="113" spans="1:23" x14ac:dyDescent="0.2">
      <c r="A113" s="32"/>
      <c r="B113" s="20" t="b">
        <f t="shared" si="14"/>
        <v>0</v>
      </c>
      <c r="C113" s="20"/>
      <c r="D113" s="20">
        <v>34</v>
      </c>
      <c r="E113" s="20"/>
      <c r="F113" s="34" t="e">
        <f t="shared" si="11"/>
        <v>#DIV/0!</v>
      </c>
      <c r="G113" s="20" t="e">
        <f t="shared" si="7"/>
        <v>#DIV/0!</v>
      </c>
      <c r="H113" s="20" t="e">
        <f t="shared" si="8"/>
        <v>#DIV/0!</v>
      </c>
      <c r="I113" s="20" t="e">
        <f t="shared" si="9"/>
        <v>#DIV/0!</v>
      </c>
      <c r="J113" s="20" t="e">
        <f t="shared" si="10"/>
        <v>#DIV/0!</v>
      </c>
      <c r="K113" s="33"/>
      <c r="L113" s="20"/>
      <c r="M113" s="32">
        <v>20</v>
      </c>
      <c r="N113" s="20"/>
      <c r="O113" s="34">
        <f t="shared" si="12"/>
        <v>0</v>
      </c>
      <c r="P113" s="35">
        <f t="shared" si="13"/>
        <v>0</v>
      </c>
      <c r="Q113" s="20"/>
      <c r="R113" s="20"/>
      <c r="S113" s="33"/>
      <c r="T113" s="20"/>
      <c r="U113" s="105">
        <f t="shared" si="6"/>
        <v>0</v>
      </c>
      <c r="V113" s="19">
        <v>37</v>
      </c>
      <c r="W113" s="106"/>
    </row>
    <row r="114" spans="1:23" x14ac:dyDescent="0.2">
      <c r="A114" s="32"/>
      <c r="B114" s="20" t="b">
        <f t="shared" si="14"/>
        <v>0</v>
      </c>
      <c r="C114" s="20"/>
      <c r="D114" s="20">
        <v>35</v>
      </c>
      <c r="E114" s="20"/>
      <c r="F114" s="34" t="e">
        <f t="shared" si="11"/>
        <v>#DIV/0!</v>
      </c>
      <c r="G114" s="20" t="e">
        <f t="shared" si="7"/>
        <v>#DIV/0!</v>
      </c>
      <c r="H114" s="20" t="e">
        <f t="shared" si="8"/>
        <v>#DIV/0!</v>
      </c>
      <c r="I114" s="20" t="e">
        <f t="shared" si="9"/>
        <v>#DIV/0!</v>
      </c>
      <c r="J114" s="20" t="e">
        <f t="shared" si="10"/>
        <v>#DIV/0!</v>
      </c>
      <c r="K114" s="33"/>
      <c r="L114" s="20"/>
      <c r="M114" s="32">
        <v>21</v>
      </c>
      <c r="N114" s="20"/>
      <c r="O114" s="34">
        <f t="shared" si="12"/>
        <v>0</v>
      </c>
      <c r="P114" s="35">
        <f t="shared" si="13"/>
        <v>0</v>
      </c>
      <c r="Q114" s="20"/>
      <c r="R114" s="20"/>
      <c r="S114" s="33"/>
      <c r="T114" s="20"/>
      <c r="U114" s="105">
        <f t="shared" si="6"/>
        <v>0</v>
      </c>
      <c r="V114" s="19">
        <v>38</v>
      </c>
      <c r="W114" s="106"/>
    </row>
    <row r="115" spans="1:23" x14ac:dyDescent="0.2">
      <c r="A115" s="32"/>
      <c r="B115" s="20" t="b">
        <f t="shared" si="14"/>
        <v>0</v>
      </c>
      <c r="C115" s="20"/>
      <c r="D115" s="20">
        <v>36</v>
      </c>
      <c r="E115" s="20"/>
      <c r="F115" s="34" t="e">
        <f t="shared" si="11"/>
        <v>#DIV/0!</v>
      </c>
      <c r="G115" s="20" t="e">
        <f t="shared" si="7"/>
        <v>#DIV/0!</v>
      </c>
      <c r="H115" s="20" t="e">
        <f t="shared" si="8"/>
        <v>#DIV/0!</v>
      </c>
      <c r="I115" s="20" t="e">
        <f t="shared" si="9"/>
        <v>#DIV/0!</v>
      </c>
      <c r="J115" s="20" t="e">
        <f t="shared" si="10"/>
        <v>#DIV/0!</v>
      </c>
      <c r="K115" s="33"/>
      <c r="L115" s="20"/>
      <c r="M115" s="32">
        <v>22</v>
      </c>
      <c r="N115" s="20"/>
      <c r="O115" s="34">
        <f t="shared" si="12"/>
        <v>0</v>
      </c>
      <c r="P115" s="35">
        <f t="shared" si="13"/>
        <v>0</v>
      </c>
      <c r="Q115" s="20" t="s">
        <v>94</v>
      </c>
      <c r="R115" s="20"/>
      <c r="S115" s="33"/>
      <c r="T115" s="20"/>
      <c r="U115" s="105">
        <f t="shared" si="6"/>
        <v>0</v>
      </c>
      <c r="V115" s="19">
        <v>39</v>
      </c>
      <c r="W115" s="106"/>
    </row>
    <row r="116" spans="1:23" x14ac:dyDescent="0.2">
      <c r="A116" s="32"/>
      <c r="B116" s="20" t="b">
        <f t="shared" si="14"/>
        <v>0</v>
      </c>
      <c r="C116" s="20"/>
      <c r="D116" s="20">
        <v>37</v>
      </c>
      <c r="E116" s="20"/>
      <c r="F116" s="34" t="e">
        <f t="shared" si="11"/>
        <v>#DIV/0!</v>
      </c>
      <c r="G116" s="20" t="e">
        <f t="shared" si="7"/>
        <v>#DIV/0!</v>
      </c>
      <c r="H116" s="20" t="e">
        <f t="shared" si="8"/>
        <v>#DIV/0!</v>
      </c>
      <c r="I116" s="20" t="e">
        <f t="shared" si="9"/>
        <v>#DIV/0!</v>
      </c>
      <c r="J116" s="20" t="e">
        <f t="shared" si="10"/>
        <v>#DIV/0!</v>
      </c>
      <c r="K116" s="33"/>
      <c r="L116" s="20"/>
      <c r="M116" s="32">
        <v>23</v>
      </c>
      <c r="N116" s="20"/>
      <c r="O116" s="34">
        <f t="shared" si="12"/>
        <v>0</v>
      </c>
      <c r="P116" s="35">
        <f t="shared" si="13"/>
        <v>0</v>
      </c>
      <c r="Q116" s="20" t="s">
        <v>113</v>
      </c>
      <c r="R116" s="34">
        <f>MAX(B3:B27)</f>
        <v>0</v>
      </c>
      <c r="S116" s="33"/>
      <c r="T116" s="20"/>
      <c r="U116" s="105">
        <f t="shared" si="6"/>
        <v>0</v>
      </c>
      <c r="V116" s="19">
        <v>40</v>
      </c>
      <c r="W116" s="106"/>
    </row>
    <row r="117" spans="1:23" x14ac:dyDescent="0.2">
      <c r="A117" s="32"/>
      <c r="B117" s="20" t="b">
        <f t="shared" si="14"/>
        <v>0</v>
      </c>
      <c r="C117" s="20"/>
      <c r="D117" s="20">
        <v>38</v>
      </c>
      <c r="E117" s="20"/>
      <c r="F117" s="34" t="e">
        <f t="shared" si="11"/>
        <v>#DIV/0!</v>
      </c>
      <c r="G117" s="20" t="e">
        <f t="shared" si="7"/>
        <v>#DIV/0!</v>
      </c>
      <c r="H117" s="20" t="e">
        <f t="shared" si="8"/>
        <v>#DIV/0!</v>
      </c>
      <c r="I117" s="20" t="e">
        <f t="shared" si="9"/>
        <v>#DIV/0!</v>
      </c>
      <c r="J117" s="20" t="e">
        <f t="shared" si="10"/>
        <v>#DIV/0!</v>
      </c>
      <c r="K117" s="33"/>
      <c r="L117" s="20"/>
      <c r="M117" s="32">
        <v>24</v>
      </c>
      <c r="N117" s="20"/>
      <c r="O117" s="34">
        <f t="shared" si="12"/>
        <v>0</v>
      </c>
      <c r="P117" s="35">
        <f t="shared" si="13"/>
        <v>0</v>
      </c>
      <c r="Q117" s="20" t="s">
        <v>114</v>
      </c>
      <c r="R117" s="34">
        <f>MAX(B28:B52)</f>
        <v>0</v>
      </c>
      <c r="S117" s="33"/>
      <c r="T117" s="20"/>
      <c r="U117" s="105">
        <f t="shared" si="6"/>
        <v>0</v>
      </c>
      <c r="V117" s="19">
        <v>41</v>
      </c>
      <c r="W117" s="106"/>
    </row>
    <row r="118" spans="1:23" x14ac:dyDescent="0.2">
      <c r="A118" s="32"/>
      <c r="B118" s="20" t="b">
        <f>ISNUMBER(B27)</f>
        <v>0</v>
      </c>
      <c r="C118" s="20"/>
      <c r="D118" s="20">
        <v>39</v>
      </c>
      <c r="E118" s="20"/>
      <c r="F118" s="34" t="e">
        <f t="shared" si="11"/>
        <v>#DIV/0!</v>
      </c>
      <c r="G118" s="20" t="e">
        <f t="shared" si="7"/>
        <v>#DIV/0!</v>
      </c>
      <c r="H118" s="20" t="e">
        <f t="shared" si="8"/>
        <v>#DIV/0!</v>
      </c>
      <c r="I118" s="20" t="e">
        <f t="shared" si="9"/>
        <v>#DIV/0!</v>
      </c>
      <c r="J118" s="20" t="e">
        <f t="shared" si="10"/>
        <v>#DIV/0!</v>
      </c>
      <c r="K118" s="33"/>
      <c r="L118" s="20"/>
      <c r="M118" s="32">
        <v>25</v>
      </c>
      <c r="N118" s="20"/>
      <c r="O118" s="34">
        <f t="shared" si="12"/>
        <v>0</v>
      </c>
      <c r="P118" s="35">
        <f t="shared" si="13"/>
        <v>0</v>
      </c>
      <c r="Q118" s="20" t="s">
        <v>115</v>
      </c>
      <c r="R118" s="34">
        <f>IF(R117=0,R116,MAX(R116,R117))</f>
        <v>0</v>
      </c>
      <c r="S118" s="33"/>
      <c r="T118" s="20"/>
      <c r="U118" s="105">
        <f t="shared" si="6"/>
        <v>0</v>
      </c>
      <c r="V118" s="19">
        <v>42</v>
      </c>
      <c r="W118" s="106"/>
    </row>
    <row r="119" spans="1:23" x14ac:dyDescent="0.2">
      <c r="A119" s="32"/>
      <c r="B119" s="20" t="b">
        <f>ISNUMBER(B28)</f>
        <v>0</v>
      </c>
      <c r="C119" s="20"/>
      <c r="D119" s="20">
        <v>40</v>
      </c>
      <c r="E119" s="20"/>
      <c r="F119" s="34" t="e">
        <f t="shared" si="11"/>
        <v>#DIV/0!</v>
      </c>
      <c r="G119" s="20" t="e">
        <f t="shared" si="7"/>
        <v>#DIV/0!</v>
      </c>
      <c r="H119" s="20" t="e">
        <f t="shared" si="8"/>
        <v>#DIV/0!</v>
      </c>
      <c r="I119" s="20" t="e">
        <f t="shared" si="9"/>
        <v>#DIV/0!</v>
      </c>
      <c r="J119" s="20" t="e">
        <f t="shared" si="10"/>
        <v>#DIV/0!</v>
      </c>
      <c r="K119" s="33"/>
      <c r="M119" s="32">
        <v>26</v>
      </c>
      <c r="N119" s="20"/>
      <c r="O119" s="34">
        <f t="shared" si="12"/>
        <v>0</v>
      </c>
      <c r="P119" s="35">
        <f t="shared" si="13"/>
        <v>0</v>
      </c>
      <c r="Q119" s="20"/>
      <c r="R119" s="20"/>
      <c r="S119" s="33"/>
      <c r="T119" s="20"/>
      <c r="U119" s="105">
        <f t="shared" si="6"/>
        <v>0</v>
      </c>
      <c r="V119" s="19">
        <v>43</v>
      </c>
      <c r="W119" s="106"/>
    </row>
    <row r="120" spans="1:23" x14ac:dyDescent="0.2">
      <c r="A120" s="32"/>
      <c r="B120" s="20" t="b">
        <f t="shared" ref="B120:B143" si="15">ISNUMBER(B29)</f>
        <v>0</v>
      </c>
      <c r="C120" s="20"/>
      <c r="D120" s="20">
        <v>41</v>
      </c>
      <c r="E120" s="20"/>
      <c r="F120" s="34" t="e">
        <f t="shared" si="11"/>
        <v>#DIV/0!</v>
      </c>
      <c r="G120" s="20" t="e">
        <f t="shared" si="7"/>
        <v>#DIV/0!</v>
      </c>
      <c r="H120" s="20" t="e">
        <f t="shared" si="8"/>
        <v>#DIV/0!</v>
      </c>
      <c r="I120" s="20" t="e">
        <f t="shared" si="9"/>
        <v>#DIV/0!</v>
      </c>
      <c r="J120" s="20" t="e">
        <f t="shared" si="10"/>
        <v>#DIV/0!</v>
      </c>
      <c r="K120" s="33"/>
      <c r="L120" s="20"/>
      <c r="M120" s="32">
        <v>27</v>
      </c>
      <c r="N120" s="20"/>
      <c r="O120" s="34">
        <f t="shared" si="12"/>
        <v>0</v>
      </c>
      <c r="P120" s="35">
        <f t="shared" si="13"/>
        <v>0</v>
      </c>
      <c r="Q120" s="20" t="s">
        <v>116</v>
      </c>
      <c r="R120" s="20"/>
      <c r="S120" s="33"/>
      <c r="T120" s="20"/>
      <c r="U120" s="105">
        <f t="shared" si="6"/>
        <v>0</v>
      </c>
      <c r="V120" s="19">
        <v>44</v>
      </c>
      <c r="W120" s="106"/>
    </row>
    <row r="121" spans="1:23" x14ac:dyDescent="0.2">
      <c r="A121" s="32"/>
      <c r="B121" s="20" t="b">
        <f t="shared" si="15"/>
        <v>0</v>
      </c>
      <c r="C121" s="20"/>
      <c r="D121" s="20">
        <v>42</v>
      </c>
      <c r="E121" s="20"/>
      <c r="F121" s="34" t="e">
        <f t="shared" si="11"/>
        <v>#DIV/0!</v>
      </c>
      <c r="G121" s="20" t="e">
        <f t="shared" si="7"/>
        <v>#DIV/0!</v>
      </c>
      <c r="H121" s="20" t="e">
        <f t="shared" si="8"/>
        <v>#DIV/0!</v>
      </c>
      <c r="I121" s="20" t="e">
        <f t="shared" si="9"/>
        <v>#DIV/0!</v>
      </c>
      <c r="J121" s="20" t="e">
        <f t="shared" si="10"/>
        <v>#DIV/0!</v>
      </c>
      <c r="K121" s="33"/>
      <c r="L121" s="20"/>
      <c r="M121" s="32">
        <v>28</v>
      </c>
      <c r="N121" s="20"/>
      <c r="O121" s="34">
        <f t="shared" si="12"/>
        <v>0</v>
      </c>
      <c r="P121" s="35">
        <f t="shared" si="13"/>
        <v>0</v>
      </c>
      <c r="Q121" s="20" t="s">
        <v>113</v>
      </c>
      <c r="R121" s="34">
        <f>MIN(B3:B27)</f>
        <v>0</v>
      </c>
      <c r="S121" s="33"/>
      <c r="T121" s="20"/>
      <c r="U121" s="105">
        <f t="shared" si="6"/>
        <v>0</v>
      </c>
      <c r="V121" s="19">
        <v>45</v>
      </c>
      <c r="W121" s="106"/>
    </row>
    <row r="122" spans="1:23" x14ac:dyDescent="0.2">
      <c r="A122" s="32"/>
      <c r="B122" s="20" t="b">
        <f t="shared" si="15"/>
        <v>0</v>
      </c>
      <c r="C122" s="20"/>
      <c r="D122" s="20">
        <v>43</v>
      </c>
      <c r="E122" s="20"/>
      <c r="F122" s="34" t="e">
        <f t="shared" si="11"/>
        <v>#DIV/0!</v>
      </c>
      <c r="G122" s="20" t="e">
        <f t="shared" si="7"/>
        <v>#DIV/0!</v>
      </c>
      <c r="H122" s="20" t="e">
        <f t="shared" si="8"/>
        <v>#DIV/0!</v>
      </c>
      <c r="I122" s="20" t="e">
        <f t="shared" si="9"/>
        <v>#DIV/0!</v>
      </c>
      <c r="J122" s="20" t="e">
        <f t="shared" si="10"/>
        <v>#DIV/0!</v>
      </c>
      <c r="K122" s="33"/>
      <c r="L122" s="20"/>
      <c r="M122" s="32">
        <v>29</v>
      </c>
      <c r="N122" s="20"/>
      <c r="O122" s="34">
        <f t="shared" si="12"/>
        <v>0</v>
      </c>
      <c r="P122" s="35">
        <f t="shared" si="13"/>
        <v>0</v>
      </c>
      <c r="Q122" s="20" t="s">
        <v>114</v>
      </c>
      <c r="R122" s="34">
        <f>MIN(B28:B52)</f>
        <v>0</v>
      </c>
      <c r="S122" s="33"/>
      <c r="T122" s="20"/>
      <c r="U122" s="105">
        <f t="shared" si="6"/>
        <v>0</v>
      </c>
      <c r="V122" s="19">
        <v>46</v>
      </c>
      <c r="W122" s="106"/>
    </row>
    <row r="123" spans="1:23" x14ac:dyDescent="0.2">
      <c r="A123" s="32"/>
      <c r="B123" s="20" t="b">
        <f t="shared" si="15"/>
        <v>0</v>
      </c>
      <c r="C123" s="20"/>
      <c r="D123" s="20">
        <v>44</v>
      </c>
      <c r="E123" s="20"/>
      <c r="F123" s="34" t="e">
        <f t="shared" si="11"/>
        <v>#DIV/0!</v>
      </c>
      <c r="G123" s="20" t="e">
        <f t="shared" si="7"/>
        <v>#DIV/0!</v>
      </c>
      <c r="H123" s="20" t="e">
        <f t="shared" si="8"/>
        <v>#DIV/0!</v>
      </c>
      <c r="I123" s="20" t="e">
        <f t="shared" si="9"/>
        <v>#DIV/0!</v>
      </c>
      <c r="J123" s="20" t="e">
        <f t="shared" si="10"/>
        <v>#DIV/0!</v>
      </c>
      <c r="K123" s="33"/>
      <c r="L123" s="20"/>
      <c r="M123" s="32">
        <v>30</v>
      </c>
      <c r="N123" s="20"/>
      <c r="O123" s="34">
        <f t="shared" si="12"/>
        <v>0</v>
      </c>
      <c r="P123" s="35">
        <f t="shared" si="13"/>
        <v>0</v>
      </c>
      <c r="Q123" s="20" t="s">
        <v>115</v>
      </c>
      <c r="R123" s="34">
        <f>IF($R122=0,R121,MIN(R121:R122))</f>
        <v>0</v>
      </c>
      <c r="S123" s="33"/>
      <c r="T123" s="20"/>
      <c r="U123" s="105">
        <f t="shared" si="6"/>
        <v>0</v>
      </c>
      <c r="V123" s="19">
        <v>47</v>
      </c>
      <c r="W123" s="106"/>
    </row>
    <row r="124" spans="1:23" x14ac:dyDescent="0.2">
      <c r="A124" s="32"/>
      <c r="B124" s="20" t="b">
        <f t="shared" si="15"/>
        <v>0</v>
      </c>
      <c r="C124" s="20"/>
      <c r="D124" s="20">
        <v>45</v>
      </c>
      <c r="E124" s="20"/>
      <c r="F124" s="34" t="e">
        <f t="shared" si="11"/>
        <v>#DIV/0!</v>
      </c>
      <c r="G124" s="20" t="e">
        <f t="shared" si="7"/>
        <v>#DIV/0!</v>
      </c>
      <c r="H124" s="20" t="e">
        <f t="shared" si="8"/>
        <v>#DIV/0!</v>
      </c>
      <c r="I124" s="20" t="e">
        <f t="shared" si="9"/>
        <v>#DIV/0!</v>
      </c>
      <c r="J124" s="20" t="e">
        <f t="shared" si="10"/>
        <v>#DIV/0!</v>
      </c>
      <c r="K124" s="33"/>
      <c r="L124" s="20"/>
      <c r="M124" s="32">
        <v>31</v>
      </c>
      <c r="N124" s="20"/>
      <c r="O124" s="34">
        <f t="shared" si="12"/>
        <v>0</v>
      </c>
      <c r="P124" s="35">
        <f t="shared" si="13"/>
        <v>0</v>
      </c>
      <c r="Q124" s="20"/>
      <c r="R124" s="20"/>
      <c r="S124" s="33"/>
      <c r="T124" s="20"/>
      <c r="U124" s="105">
        <f t="shared" si="6"/>
        <v>0</v>
      </c>
      <c r="V124" s="19">
        <v>48</v>
      </c>
      <c r="W124" s="106"/>
    </row>
    <row r="125" spans="1:23" x14ac:dyDescent="0.2">
      <c r="A125" s="32"/>
      <c r="B125" s="20" t="b">
        <f t="shared" si="15"/>
        <v>0</v>
      </c>
      <c r="C125" s="20"/>
      <c r="D125" s="20">
        <v>46</v>
      </c>
      <c r="E125" s="20"/>
      <c r="F125" s="34" t="e">
        <f t="shared" si="11"/>
        <v>#DIV/0!</v>
      </c>
      <c r="G125" s="20" t="e">
        <f t="shared" si="7"/>
        <v>#DIV/0!</v>
      </c>
      <c r="H125" s="20" t="e">
        <f t="shared" si="8"/>
        <v>#DIV/0!</v>
      </c>
      <c r="I125" s="20" t="e">
        <f t="shared" si="9"/>
        <v>#DIV/0!</v>
      </c>
      <c r="J125" s="20" t="e">
        <f t="shared" si="10"/>
        <v>#DIV/0!</v>
      </c>
      <c r="K125" s="33"/>
      <c r="L125" s="20"/>
      <c r="M125" s="32">
        <v>32</v>
      </c>
      <c r="N125" s="20"/>
      <c r="O125" s="34">
        <f t="shared" si="12"/>
        <v>0</v>
      </c>
      <c r="P125" s="35">
        <f t="shared" si="13"/>
        <v>0</v>
      </c>
      <c r="Q125" s="20"/>
      <c r="R125" s="20"/>
      <c r="S125" s="33"/>
      <c r="T125" s="20"/>
      <c r="U125" s="105">
        <f t="shared" si="6"/>
        <v>0</v>
      </c>
      <c r="V125" s="19">
        <v>49</v>
      </c>
      <c r="W125" s="106"/>
    </row>
    <row r="126" spans="1:23" x14ac:dyDescent="0.2">
      <c r="A126" s="32"/>
      <c r="B126" s="20" t="b">
        <f t="shared" si="15"/>
        <v>0</v>
      </c>
      <c r="C126" s="20"/>
      <c r="D126" s="20">
        <v>47</v>
      </c>
      <c r="E126" s="20"/>
      <c r="F126" s="34" t="e">
        <f t="shared" si="11"/>
        <v>#DIV/0!</v>
      </c>
      <c r="G126" s="20" t="e">
        <f t="shared" si="7"/>
        <v>#DIV/0!</v>
      </c>
      <c r="H126" s="20" t="e">
        <f t="shared" si="8"/>
        <v>#DIV/0!</v>
      </c>
      <c r="I126" s="20" t="e">
        <f t="shared" si="9"/>
        <v>#DIV/0!</v>
      </c>
      <c r="J126" s="20" t="e">
        <f t="shared" si="10"/>
        <v>#DIV/0!</v>
      </c>
      <c r="K126" s="33"/>
      <c r="L126" s="20"/>
      <c r="M126" s="32">
        <v>33</v>
      </c>
      <c r="N126" s="20"/>
      <c r="O126" s="34">
        <f t="shared" si="12"/>
        <v>0</v>
      </c>
      <c r="P126" s="35">
        <f t="shared" si="13"/>
        <v>0</v>
      </c>
      <c r="Q126" s="20"/>
      <c r="R126" s="20"/>
      <c r="S126" s="33"/>
      <c r="T126" s="20"/>
      <c r="U126" s="105">
        <f t="shared" si="6"/>
        <v>0</v>
      </c>
      <c r="V126" s="19">
        <v>50</v>
      </c>
      <c r="W126" s="106"/>
    </row>
    <row r="127" spans="1:23" x14ac:dyDescent="0.2">
      <c r="A127" s="32"/>
      <c r="B127" s="20" t="b">
        <f t="shared" si="15"/>
        <v>0</v>
      </c>
      <c r="C127" s="20"/>
      <c r="D127" s="20">
        <v>48</v>
      </c>
      <c r="E127" s="20"/>
      <c r="F127" s="34" t="e">
        <f t="shared" si="11"/>
        <v>#DIV/0!</v>
      </c>
      <c r="G127" s="20" t="e">
        <f t="shared" si="7"/>
        <v>#DIV/0!</v>
      </c>
      <c r="H127" s="20" t="e">
        <f t="shared" si="8"/>
        <v>#DIV/0!</v>
      </c>
      <c r="I127" s="20" t="e">
        <f t="shared" si="9"/>
        <v>#DIV/0!</v>
      </c>
      <c r="J127" s="20" t="e">
        <f t="shared" si="10"/>
        <v>#DIV/0!</v>
      </c>
      <c r="K127" s="33"/>
      <c r="L127" s="20"/>
      <c r="M127" s="32">
        <v>34</v>
      </c>
      <c r="N127" s="20"/>
      <c r="O127" s="34">
        <f t="shared" si="12"/>
        <v>0</v>
      </c>
      <c r="P127" s="35">
        <f t="shared" si="13"/>
        <v>0</v>
      </c>
      <c r="Q127" s="20"/>
      <c r="R127" s="20"/>
      <c r="S127" s="33"/>
      <c r="T127" s="20"/>
      <c r="U127" s="105"/>
      <c r="W127" s="106"/>
    </row>
    <row r="128" spans="1:23" x14ac:dyDescent="0.2">
      <c r="A128" s="32"/>
      <c r="B128" s="20" t="b">
        <f t="shared" si="15"/>
        <v>0</v>
      </c>
      <c r="C128" s="20"/>
      <c r="D128" s="20">
        <v>49</v>
      </c>
      <c r="E128" s="20"/>
      <c r="F128" s="34" t="e">
        <f t="shared" si="11"/>
        <v>#DIV/0!</v>
      </c>
      <c r="G128" s="20" t="e">
        <f t="shared" si="7"/>
        <v>#DIV/0!</v>
      </c>
      <c r="H128" s="20" t="e">
        <f t="shared" si="8"/>
        <v>#DIV/0!</v>
      </c>
      <c r="I128" s="20" t="e">
        <f t="shared" si="9"/>
        <v>#DIV/0!</v>
      </c>
      <c r="J128" s="20" t="e">
        <f t="shared" si="10"/>
        <v>#DIV/0!</v>
      </c>
      <c r="K128" s="33"/>
      <c r="L128" s="20"/>
      <c r="M128" s="32">
        <v>35</v>
      </c>
      <c r="N128" s="20"/>
      <c r="O128" s="34">
        <f t="shared" si="12"/>
        <v>0</v>
      </c>
      <c r="P128" s="35">
        <f t="shared" si="13"/>
        <v>0</v>
      </c>
      <c r="Q128" s="20"/>
      <c r="R128" s="20"/>
      <c r="S128" s="33"/>
      <c r="T128" s="20"/>
      <c r="U128" s="105"/>
      <c r="W128" s="106"/>
    </row>
    <row r="129" spans="1:23" x14ac:dyDescent="0.2">
      <c r="A129" s="32"/>
      <c r="B129" s="20" t="b">
        <f t="shared" si="15"/>
        <v>0</v>
      </c>
      <c r="C129" s="20"/>
      <c r="D129" s="20">
        <v>50</v>
      </c>
      <c r="E129" s="20"/>
      <c r="F129" s="34" t="e">
        <f t="shared" si="11"/>
        <v>#DIV/0!</v>
      </c>
      <c r="G129" s="20" t="e">
        <f t="shared" si="7"/>
        <v>#DIV/0!</v>
      </c>
      <c r="H129" s="20" t="e">
        <f t="shared" si="8"/>
        <v>#DIV/0!</v>
      </c>
      <c r="I129" s="20" t="e">
        <f t="shared" si="9"/>
        <v>#DIV/0!</v>
      </c>
      <c r="J129" s="20" t="e">
        <f t="shared" si="10"/>
        <v>#DIV/0!</v>
      </c>
      <c r="K129" s="33"/>
      <c r="L129" s="20"/>
      <c r="M129" s="32">
        <v>36</v>
      </c>
      <c r="N129" s="20"/>
      <c r="O129" s="34">
        <f t="shared" si="12"/>
        <v>0</v>
      </c>
      <c r="P129" s="35">
        <f t="shared" si="13"/>
        <v>0</v>
      </c>
      <c r="Q129" s="20"/>
      <c r="R129" s="20"/>
      <c r="S129" s="33"/>
      <c r="T129" s="20"/>
      <c r="U129" s="105"/>
      <c r="W129" s="106"/>
    </row>
    <row r="130" spans="1:23" x14ac:dyDescent="0.2">
      <c r="A130" s="32"/>
      <c r="B130" s="20" t="b">
        <f t="shared" si="15"/>
        <v>0</v>
      </c>
      <c r="C130" s="20"/>
      <c r="D130" s="20">
        <v>51</v>
      </c>
      <c r="E130" s="20"/>
      <c r="F130" s="34" t="e">
        <f t="shared" si="11"/>
        <v>#DIV/0!</v>
      </c>
      <c r="G130" s="20" t="e">
        <f t="shared" si="7"/>
        <v>#DIV/0!</v>
      </c>
      <c r="H130" s="20" t="e">
        <f t="shared" si="8"/>
        <v>#DIV/0!</v>
      </c>
      <c r="I130" s="20" t="e">
        <f t="shared" si="9"/>
        <v>#DIV/0!</v>
      </c>
      <c r="J130" s="20" t="e">
        <f t="shared" si="10"/>
        <v>#DIV/0!</v>
      </c>
      <c r="K130" s="33"/>
      <c r="L130" s="20"/>
      <c r="M130" s="32">
        <v>37</v>
      </c>
      <c r="N130" s="20"/>
      <c r="O130" s="34">
        <f t="shared" si="12"/>
        <v>0</v>
      </c>
      <c r="P130" s="35">
        <f t="shared" si="13"/>
        <v>0</v>
      </c>
      <c r="Q130" s="20"/>
      <c r="R130" s="20"/>
      <c r="S130" s="33"/>
      <c r="T130" s="20"/>
      <c r="U130" s="105"/>
      <c r="W130" s="106"/>
    </row>
    <row r="131" spans="1:23" x14ac:dyDescent="0.2">
      <c r="A131" s="32"/>
      <c r="B131" s="20" t="b">
        <f t="shared" si="15"/>
        <v>0</v>
      </c>
      <c r="C131" s="20"/>
      <c r="D131" s="20">
        <v>52</v>
      </c>
      <c r="E131" s="20"/>
      <c r="F131" s="34" t="e">
        <f t="shared" si="11"/>
        <v>#DIV/0!</v>
      </c>
      <c r="G131" s="20" t="e">
        <f t="shared" si="7"/>
        <v>#DIV/0!</v>
      </c>
      <c r="H131" s="20" t="e">
        <f t="shared" si="8"/>
        <v>#DIV/0!</v>
      </c>
      <c r="I131" s="20" t="e">
        <f t="shared" si="9"/>
        <v>#DIV/0!</v>
      </c>
      <c r="J131" s="20" t="e">
        <f t="shared" si="10"/>
        <v>#DIV/0!</v>
      </c>
      <c r="K131" s="33"/>
      <c r="L131" s="20"/>
      <c r="M131" s="32">
        <v>38</v>
      </c>
      <c r="N131" s="20"/>
      <c r="O131" s="34">
        <f t="shared" si="12"/>
        <v>0</v>
      </c>
      <c r="P131" s="35">
        <f t="shared" si="13"/>
        <v>0</v>
      </c>
      <c r="Q131" s="20"/>
      <c r="R131" s="20"/>
      <c r="S131" s="33"/>
      <c r="T131" s="20"/>
      <c r="U131" s="105"/>
      <c r="W131" s="106"/>
    </row>
    <row r="132" spans="1:23" x14ac:dyDescent="0.2">
      <c r="A132" s="32"/>
      <c r="B132" s="20" t="b">
        <f t="shared" si="15"/>
        <v>0</v>
      </c>
      <c r="C132" s="20"/>
      <c r="D132" s="20">
        <v>53</v>
      </c>
      <c r="E132" s="20"/>
      <c r="F132" s="34" t="e">
        <f t="shared" si="11"/>
        <v>#DIV/0!</v>
      </c>
      <c r="G132" s="20" t="e">
        <f t="shared" si="7"/>
        <v>#DIV/0!</v>
      </c>
      <c r="H132" s="20" t="e">
        <f t="shared" si="8"/>
        <v>#DIV/0!</v>
      </c>
      <c r="I132" s="20" t="e">
        <f t="shared" si="9"/>
        <v>#DIV/0!</v>
      </c>
      <c r="J132" s="20" t="e">
        <f t="shared" si="10"/>
        <v>#DIV/0!</v>
      </c>
      <c r="K132" s="33"/>
      <c r="L132" s="20"/>
      <c r="M132" s="32">
        <v>39</v>
      </c>
      <c r="N132" s="20"/>
      <c r="O132" s="34">
        <f t="shared" si="12"/>
        <v>0</v>
      </c>
      <c r="P132" s="35">
        <f t="shared" si="13"/>
        <v>0</v>
      </c>
      <c r="Q132" s="20"/>
      <c r="R132" s="20"/>
      <c r="S132" s="33"/>
      <c r="T132" s="20"/>
      <c r="U132" s="105"/>
      <c r="W132" s="106"/>
    </row>
    <row r="133" spans="1:23" x14ac:dyDescent="0.2">
      <c r="A133" s="32"/>
      <c r="B133" s="20" t="b">
        <f t="shared" si="15"/>
        <v>0</v>
      </c>
      <c r="C133" s="20"/>
      <c r="D133" s="20">
        <v>54</v>
      </c>
      <c r="E133" s="20"/>
      <c r="F133" s="34" t="e">
        <f t="shared" si="11"/>
        <v>#DIV/0!</v>
      </c>
      <c r="G133" s="20" t="e">
        <f t="shared" si="7"/>
        <v>#DIV/0!</v>
      </c>
      <c r="H133" s="20" t="e">
        <f t="shared" si="8"/>
        <v>#DIV/0!</v>
      </c>
      <c r="I133" s="20" t="e">
        <f t="shared" si="9"/>
        <v>#DIV/0!</v>
      </c>
      <c r="J133" s="20" t="e">
        <f t="shared" si="10"/>
        <v>#DIV/0!</v>
      </c>
      <c r="K133" s="33"/>
      <c r="L133" s="20"/>
      <c r="M133" s="32">
        <v>40</v>
      </c>
      <c r="N133" s="20"/>
      <c r="O133" s="34">
        <f t="shared" si="12"/>
        <v>0</v>
      </c>
      <c r="P133" s="35">
        <f t="shared" si="13"/>
        <v>0</v>
      </c>
      <c r="Q133" s="20"/>
      <c r="R133" s="20"/>
      <c r="S133" s="33"/>
      <c r="T133" s="20"/>
      <c r="U133" s="105"/>
      <c r="W133" s="106"/>
    </row>
    <row r="134" spans="1:23" x14ac:dyDescent="0.2">
      <c r="A134" s="32"/>
      <c r="B134" s="20" t="b">
        <f t="shared" si="15"/>
        <v>0</v>
      </c>
      <c r="C134" s="20"/>
      <c r="D134" s="20">
        <v>55</v>
      </c>
      <c r="E134" s="20"/>
      <c r="F134" s="34" t="e">
        <f t="shared" si="11"/>
        <v>#DIV/0!</v>
      </c>
      <c r="G134" s="20" t="e">
        <f t="shared" si="7"/>
        <v>#DIV/0!</v>
      </c>
      <c r="H134" s="20" t="e">
        <f t="shared" si="8"/>
        <v>#DIV/0!</v>
      </c>
      <c r="I134" s="20" t="e">
        <f t="shared" si="9"/>
        <v>#DIV/0!</v>
      </c>
      <c r="J134" s="20" t="e">
        <f t="shared" si="10"/>
        <v>#DIV/0!</v>
      </c>
      <c r="K134" s="33"/>
      <c r="L134" s="20"/>
      <c r="M134" s="32">
        <v>41</v>
      </c>
      <c r="N134" s="20"/>
      <c r="O134" s="34">
        <f t="shared" si="12"/>
        <v>0</v>
      </c>
      <c r="P134" s="35">
        <f t="shared" si="13"/>
        <v>0</v>
      </c>
      <c r="Q134" s="20"/>
      <c r="R134" s="20"/>
      <c r="S134" s="33"/>
      <c r="T134" s="20"/>
      <c r="U134" s="105"/>
      <c r="W134" s="106"/>
    </row>
    <row r="135" spans="1:23" x14ac:dyDescent="0.2">
      <c r="A135" s="32"/>
      <c r="B135" s="20" t="b">
        <f t="shared" si="15"/>
        <v>0</v>
      </c>
      <c r="C135" s="20"/>
      <c r="D135" s="20">
        <v>56</v>
      </c>
      <c r="E135" s="20"/>
      <c r="F135" s="34" t="e">
        <f t="shared" si="11"/>
        <v>#DIV/0!</v>
      </c>
      <c r="G135" s="20" t="e">
        <f t="shared" si="7"/>
        <v>#DIV/0!</v>
      </c>
      <c r="H135" s="20" t="e">
        <f t="shared" si="8"/>
        <v>#DIV/0!</v>
      </c>
      <c r="I135" s="20" t="e">
        <f t="shared" si="9"/>
        <v>#DIV/0!</v>
      </c>
      <c r="J135" s="20" t="e">
        <f t="shared" si="10"/>
        <v>#DIV/0!</v>
      </c>
      <c r="K135" s="33"/>
      <c r="L135" s="20"/>
      <c r="M135" s="32">
        <v>42</v>
      </c>
      <c r="N135" s="20"/>
      <c r="O135" s="34">
        <f t="shared" si="12"/>
        <v>0</v>
      </c>
      <c r="P135" s="35">
        <f t="shared" si="13"/>
        <v>0</v>
      </c>
      <c r="Q135" s="20"/>
      <c r="R135" s="20"/>
      <c r="S135" s="33"/>
      <c r="T135" s="20"/>
      <c r="U135" s="105"/>
      <c r="W135" s="106"/>
    </row>
    <row r="136" spans="1:23" x14ac:dyDescent="0.2">
      <c r="A136" s="32"/>
      <c r="B136" s="20" t="b">
        <f t="shared" si="15"/>
        <v>0</v>
      </c>
      <c r="C136" s="20"/>
      <c r="D136" s="20">
        <v>57</v>
      </c>
      <c r="E136" s="20"/>
      <c r="F136" s="34" t="e">
        <f t="shared" si="11"/>
        <v>#DIV/0!</v>
      </c>
      <c r="G136" s="20" t="e">
        <f t="shared" si="7"/>
        <v>#DIV/0!</v>
      </c>
      <c r="H136" s="20" t="e">
        <f t="shared" si="8"/>
        <v>#DIV/0!</v>
      </c>
      <c r="I136" s="20" t="e">
        <f t="shared" si="9"/>
        <v>#DIV/0!</v>
      </c>
      <c r="J136" s="20" t="e">
        <f t="shared" si="10"/>
        <v>#DIV/0!</v>
      </c>
      <c r="K136" s="33"/>
      <c r="L136" s="20"/>
      <c r="M136" s="32">
        <v>43</v>
      </c>
      <c r="N136" s="20"/>
      <c r="O136" s="34">
        <f t="shared" si="12"/>
        <v>0</v>
      </c>
      <c r="P136" s="35">
        <f t="shared" si="13"/>
        <v>0</v>
      </c>
      <c r="Q136" s="20"/>
      <c r="R136" s="20"/>
      <c r="S136" s="33"/>
      <c r="T136" s="20"/>
      <c r="U136" s="105"/>
      <c r="W136" s="106"/>
    </row>
    <row r="137" spans="1:23" x14ac:dyDescent="0.2">
      <c r="A137" s="32"/>
      <c r="B137" s="20" t="b">
        <f t="shared" si="15"/>
        <v>0</v>
      </c>
      <c r="C137" s="20"/>
      <c r="D137" s="20">
        <v>58</v>
      </c>
      <c r="E137" s="20"/>
      <c r="F137" s="34" t="e">
        <f t="shared" si="11"/>
        <v>#DIV/0!</v>
      </c>
      <c r="G137" s="20" t="e">
        <f t="shared" si="7"/>
        <v>#DIV/0!</v>
      </c>
      <c r="H137" s="20" t="e">
        <f t="shared" si="8"/>
        <v>#DIV/0!</v>
      </c>
      <c r="I137" s="20" t="e">
        <f t="shared" si="9"/>
        <v>#DIV/0!</v>
      </c>
      <c r="J137" s="20" t="e">
        <f t="shared" si="10"/>
        <v>#DIV/0!</v>
      </c>
      <c r="K137" s="33"/>
      <c r="L137" s="20"/>
      <c r="M137" s="32">
        <v>44</v>
      </c>
      <c r="N137" s="20"/>
      <c r="O137" s="34">
        <f t="shared" si="12"/>
        <v>0</v>
      </c>
      <c r="P137" s="35">
        <f t="shared" si="13"/>
        <v>0</v>
      </c>
      <c r="Q137" s="20"/>
      <c r="R137" s="20"/>
      <c r="S137" s="33"/>
      <c r="T137" s="20"/>
      <c r="U137" s="105"/>
      <c r="W137" s="106"/>
    </row>
    <row r="138" spans="1:23" x14ac:dyDescent="0.2">
      <c r="A138" s="32"/>
      <c r="B138" s="20" t="b">
        <f t="shared" si="15"/>
        <v>0</v>
      </c>
      <c r="C138" s="20"/>
      <c r="D138" s="20">
        <v>59</v>
      </c>
      <c r="E138" s="20"/>
      <c r="F138" s="34" t="e">
        <f t="shared" si="11"/>
        <v>#DIV/0!</v>
      </c>
      <c r="G138" s="20" t="e">
        <f t="shared" si="7"/>
        <v>#DIV/0!</v>
      </c>
      <c r="H138" s="20" t="e">
        <f t="shared" si="8"/>
        <v>#DIV/0!</v>
      </c>
      <c r="I138" s="20" t="e">
        <f t="shared" si="9"/>
        <v>#DIV/0!</v>
      </c>
      <c r="J138" s="20" t="e">
        <f t="shared" si="10"/>
        <v>#DIV/0!</v>
      </c>
      <c r="K138" s="33"/>
      <c r="L138" s="20"/>
      <c r="M138" s="32">
        <v>45</v>
      </c>
      <c r="N138" s="20"/>
      <c r="O138" s="34">
        <f t="shared" si="12"/>
        <v>0</v>
      </c>
      <c r="P138" s="35">
        <f t="shared" si="13"/>
        <v>0</v>
      </c>
      <c r="Q138" s="20"/>
      <c r="R138" s="20"/>
      <c r="S138" s="33"/>
      <c r="T138" s="20"/>
      <c r="U138" s="105"/>
      <c r="W138" s="106"/>
    </row>
    <row r="139" spans="1:23" x14ac:dyDescent="0.2">
      <c r="A139" s="32"/>
      <c r="B139" s="20" t="b">
        <f t="shared" si="15"/>
        <v>0</v>
      </c>
      <c r="C139" s="20"/>
      <c r="D139" s="20">
        <v>60</v>
      </c>
      <c r="E139" s="20"/>
      <c r="F139" s="34" t="e">
        <f t="shared" si="11"/>
        <v>#DIV/0!</v>
      </c>
      <c r="G139" s="20" t="e">
        <f t="shared" si="7"/>
        <v>#DIV/0!</v>
      </c>
      <c r="H139" s="20" t="e">
        <f t="shared" si="8"/>
        <v>#DIV/0!</v>
      </c>
      <c r="I139" s="20" t="e">
        <f t="shared" si="9"/>
        <v>#DIV/0!</v>
      </c>
      <c r="J139" s="20" t="e">
        <f t="shared" si="10"/>
        <v>#DIV/0!</v>
      </c>
      <c r="K139" s="33"/>
      <c r="L139" s="20"/>
      <c r="M139" s="32">
        <v>46</v>
      </c>
      <c r="N139" s="20"/>
      <c r="O139" s="34">
        <f t="shared" si="12"/>
        <v>0</v>
      </c>
      <c r="P139" s="35">
        <f t="shared" si="13"/>
        <v>0</v>
      </c>
      <c r="Q139" s="20"/>
      <c r="R139" s="20"/>
      <c r="S139" s="33"/>
      <c r="T139" s="20"/>
      <c r="U139" s="105"/>
      <c r="W139" s="106"/>
    </row>
    <row r="140" spans="1:23" x14ac:dyDescent="0.2">
      <c r="A140" s="32"/>
      <c r="B140" s="20" t="b">
        <f t="shared" si="15"/>
        <v>0</v>
      </c>
      <c r="C140" s="20"/>
      <c r="D140" s="20">
        <v>61</v>
      </c>
      <c r="E140" s="20"/>
      <c r="F140" s="34" t="e">
        <f t="shared" si="11"/>
        <v>#DIV/0!</v>
      </c>
      <c r="G140" s="20" t="e">
        <f t="shared" si="7"/>
        <v>#DIV/0!</v>
      </c>
      <c r="H140" s="20" t="e">
        <f t="shared" si="8"/>
        <v>#DIV/0!</v>
      </c>
      <c r="I140" s="20" t="e">
        <f t="shared" si="9"/>
        <v>#DIV/0!</v>
      </c>
      <c r="J140" s="20" t="e">
        <f t="shared" si="10"/>
        <v>#DIV/0!</v>
      </c>
      <c r="K140" s="33"/>
      <c r="L140" s="20"/>
      <c r="M140" s="32">
        <v>47</v>
      </c>
      <c r="N140" s="20"/>
      <c r="O140" s="34">
        <f t="shared" si="12"/>
        <v>0</v>
      </c>
      <c r="P140" s="35">
        <f t="shared" si="13"/>
        <v>0</v>
      </c>
      <c r="Q140" s="20"/>
      <c r="R140" s="20"/>
      <c r="S140" s="33"/>
      <c r="T140" s="20"/>
      <c r="U140" s="105"/>
      <c r="W140" s="106"/>
    </row>
    <row r="141" spans="1:23" x14ac:dyDescent="0.2">
      <c r="A141" s="32"/>
      <c r="B141" s="20" t="b">
        <f t="shared" si="15"/>
        <v>0</v>
      </c>
      <c r="C141" s="20"/>
      <c r="D141" s="20">
        <v>62</v>
      </c>
      <c r="E141" s="20"/>
      <c r="F141" s="34" t="e">
        <f t="shared" si="11"/>
        <v>#DIV/0!</v>
      </c>
      <c r="G141" s="20" t="e">
        <f t="shared" si="7"/>
        <v>#DIV/0!</v>
      </c>
      <c r="H141" s="20" t="e">
        <f t="shared" si="8"/>
        <v>#DIV/0!</v>
      </c>
      <c r="I141" s="20" t="e">
        <f t="shared" si="9"/>
        <v>#DIV/0!</v>
      </c>
      <c r="J141" s="20" t="e">
        <f t="shared" si="10"/>
        <v>#DIV/0!</v>
      </c>
      <c r="K141" s="33"/>
      <c r="L141" s="20"/>
      <c r="M141" s="32">
        <v>48</v>
      </c>
      <c r="N141" s="20"/>
      <c r="O141" s="34">
        <f t="shared" si="12"/>
        <v>0</v>
      </c>
      <c r="P141" s="35">
        <f t="shared" si="13"/>
        <v>0</v>
      </c>
      <c r="Q141" s="20"/>
      <c r="R141" s="20"/>
      <c r="S141" s="33"/>
      <c r="T141" s="20"/>
      <c r="U141" s="105"/>
      <c r="W141" s="106"/>
    </row>
    <row r="142" spans="1:23" x14ac:dyDescent="0.2">
      <c r="A142" s="32"/>
      <c r="B142" s="20" t="b">
        <f t="shared" si="15"/>
        <v>0</v>
      </c>
      <c r="C142" s="20"/>
      <c r="D142" s="20">
        <v>63</v>
      </c>
      <c r="E142" s="20"/>
      <c r="F142" s="34" t="e">
        <f t="shared" si="11"/>
        <v>#DIV/0!</v>
      </c>
      <c r="G142" s="20" t="e">
        <f t="shared" si="7"/>
        <v>#DIV/0!</v>
      </c>
      <c r="H142" s="20" t="e">
        <f t="shared" si="8"/>
        <v>#DIV/0!</v>
      </c>
      <c r="I142" s="20" t="e">
        <f t="shared" si="9"/>
        <v>#DIV/0!</v>
      </c>
      <c r="J142" s="20" t="e">
        <f t="shared" si="10"/>
        <v>#DIV/0!</v>
      </c>
      <c r="K142" s="33"/>
      <c r="L142" s="20"/>
      <c r="M142" s="32">
        <v>49</v>
      </c>
      <c r="N142" s="20"/>
      <c r="O142" s="34">
        <f t="shared" si="12"/>
        <v>0</v>
      </c>
      <c r="P142" s="35">
        <f t="shared" si="13"/>
        <v>0</v>
      </c>
      <c r="Q142" s="20"/>
      <c r="R142" s="20"/>
      <c r="S142" s="33"/>
      <c r="T142" s="20"/>
      <c r="U142" s="105"/>
      <c r="W142" s="106"/>
    </row>
    <row r="143" spans="1:23" x14ac:dyDescent="0.2">
      <c r="A143" s="32"/>
      <c r="B143" s="20" t="b">
        <f t="shared" si="15"/>
        <v>0</v>
      </c>
      <c r="C143" s="20"/>
      <c r="D143" s="20">
        <v>64</v>
      </c>
      <c r="E143" s="20"/>
      <c r="F143" s="34" t="e">
        <f t="shared" si="11"/>
        <v>#DIV/0!</v>
      </c>
      <c r="G143" s="20" t="e">
        <f t="shared" si="7"/>
        <v>#DIV/0!</v>
      </c>
      <c r="H143" s="20" t="e">
        <f t="shared" si="8"/>
        <v>#DIV/0!</v>
      </c>
      <c r="I143" s="20" t="e">
        <f t="shared" si="9"/>
        <v>#DIV/0!</v>
      </c>
      <c r="J143" s="20" t="e">
        <f t="shared" si="10"/>
        <v>#DIV/0!</v>
      </c>
      <c r="K143" s="33"/>
      <c r="L143" s="20"/>
      <c r="M143" s="32">
        <v>50</v>
      </c>
      <c r="N143" s="20"/>
      <c r="O143" s="34">
        <f t="shared" si="12"/>
        <v>0</v>
      </c>
      <c r="P143" s="35">
        <f t="shared" si="13"/>
        <v>0</v>
      </c>
      <c r="Q143" s="20"/>
      <c r="R143" s="20"/>
      <c r="S143" s="33"/>
      <c r="T143" s="20"/>
      <c r="U143" s="105"/>
      <c r="W143" s="106"/>
    </row>
    <row r="144" spans="1:23" x14ac:dyDescent="0.2">
      <c r="A144" s="32"/>
      <c r="B144" s="20"/>
      <c r="C144" s="20"/>
      <c r="D144" s="20">
        <v>65</v>
      </c>
      <c r="E144" s="20"/>
      <c r="F144" s="34" t="e">
        <f t="shared" si="11"/>
        <v>#DIV/0!</v>
      </c>
      <c r="G144" s="20" t="e">
        <f t="shared" ref="G144:G207" si="16">1/($A$80*SQRT(2*3.14))*EXP(-((F144-$AC$6)*(F144-$AC$6))/(($A$80*$A$80)*2))</f>
        <v>#DIV/0!</v>
      </c>
      <c r="H144" s="20" t="e">
        <f t="shared" ref="H144:H207" si="17">1/($AF$7*SQRT(2*3.14))*EXP(-((F144-$AF$6)*(F144-$AF$6))/(($AF$7*$AF$7)*2))</f>
        <v>#DIV/0!</v>
      </c>
      <c r="I144" s="20" t="e">
        <f t="shared" ref="I144:I207" si="18">IF(OR(J144-J143=1,J144-J143=-1),$S$159,0)</f>
        <v>#DIV/0!</v>
      </c>
      <c r="J144" s="20" t="e">
        <f t="shared" ref="J144:J207" si="19">IF(OR(F144&lt;$AF$8,F144&gt;$AF$9),0,1)</f>
        <v>#DIV/0!</v>
      </c>
      <c r="K144" s="33"/>
      <c r="L144" s="20"/>
      <c r="M144" s="32"/>
      <c r="N144" s="20"/>
      <c r="O144" s="20"/>
      <c r="P144" s="20"/>
      <c r="Q144" s="20"/>
      <c r="R144" s="20"/>
      <c r="S144" s="33"/>
      <c r="T144" s="20"/>
      <c r="U144" s="105"/>
      <c r="W144" s="106"/>
    </row>
    <row r="145" spans="1:23" x14ac:dyDescent="0.2">
      <c r="A145" s="32"/>
      <c r="B145" s="20"/>
      <c r="C145" s="20"/>
      <c r="D145" s="20">
        <v>66</v>
      </c>
      <c r="E145" s="20"/>
      <c r="F145" s="34" t="e">
        <f t="shared" ref="F145:F208" si="20">F144+$Q$79</f>
        <v>#DIV/0!</v>
      </c>
      <c r="G145" s="20" t="e">
        <f t="shared" si="16"/>
        <v>#DIV/0!</v>
      </c>
      <c r="H145" s="20" t="e">
        <f t="shared" si="17"/>
        <v>#DIV/0!</v>
      </c>
      <c r="I145" s="20" t="e">
        <f t="shared" si="18"/>
        <v>#DIV/0!</v>
      </c>
      <c r="J145" s="20" t="e">
        <f t="shared" si="19"/>
        <v>#DIV/0!</v>
      </c>
      <c r="K145" s="33"/>
      <c r="L145" s="20"/>
      <c r="M145" s="44"/>
      <c r="N145" s="46"/>
      <c r="O145" s="46"/>
      <c r="P145" s="46"/>
      <c r="Q145" s="46"/>
      <c r="R145" s="46"/>
      <c r="S145" s="48"/>
      <c r="T145" s="20"/>
      <c r="U145" s="115"/>
      <c r="V145" s="77"/>
      <c r="W145" s="116"/>
    </row>
    <row r="146" spans="1:23" x14ac:dyDescent="0.2">
      <c r="A146" s="32"/>
      <c r="B146" s="20"/>
      <c r="C146" s="20"/>
      <c r="D146" s="20">
        <v>67</v>
      </c>
      <c r="E146" s="20"/>
      <c r="F146" s="34" t="e">
        <f t="shared" si="20"/>
        <v>#DIV/0!</v>
      </c>
      <c r="G146" s="20" t="e">
        <f t="shared" si="16"/>
        <v>#DIV/0!</v>
      </c>
      <c r="H146" s="20" t="e">
        <f t="shared" si="17"/>
        <v>#DIV/0!</v>
      </c>
      <c r="I146" s="20" t="e">
        <f t="shared" si="18"/>
        <v>#DIV/0!</v>
      </c>
      <c r="J146" s="20" t="e">
        <f t="shared" si="19"/>
        <v>#DIV/0!</v>
      </c>
      <c r="K146" s="33"/>
      <c r="L146" s="20"/>
      <c r="M146" s="20"/>
      <c r="N146" s="20"/>
      <c r="O146" s="20"/>
      <c r="P146" s="20"/>
      <c r="Q146" s="20"/>
      <c r="R146" s="20"/>
      <c r="S146" s="20"/>
      <c r="T146" s="20"/>
    </row>
    <row r="147" spans="1:23" x14ac:dyDescent="0.2">
      <c r="A147" s="32"/>
      <c r="B147" s="20"/>
      <c r="C147" s="20"/>
      <c r="D147" s="20">
        <v>68</v>
      </c>
      <c r="E147" s="20"/>
      <c r="F147" s="34" t="e">
        <f t="shared" si="20"/>
        <v>#DIV/0!</v>
      </c>
      <c r="G147" s="20" t="e">
        <f t="shared" si="16"/>
        <v>#DIV/0!</v>
      </c>
      <c r="H147" s="20" t="e">
        <f t="shared" si="17"/>
        <v>#DIV/0!</v>
      </c>
      <c r="I147" s="20" t="e">
        <f t="shared" si="18"/>
        <v>#DIV/0!</v>
      </c>
      <c r="J147" s="20" t="e">
        <f t="shared" si="19"/>
        <v>#DIV/0!</v>
      </c>
      <c r="K147" s="33"/>
      <c r="L147" s="20"/>
      <c r="M147" s="20"/>
      <c r="N147" s="20"/>
      <c r="O147" s="20"/>
      <c r="P147" s="20"/>
      <c r="Q147" s="20"/>
      <c r="R147" s="20"/>
      <c r="S147" s="20"/>
      <c r="T147" s="20"/>
    </row>
    <row r="148" spans="1:23" x14ac:dyDescent="0.2">
      <c r="A148" s="32"/>
      <c r="B148" s="20"/>
      <c r="C148" s="20"/>
      <c r="D148" s="20">
        <v>69</v>
      </c>
      <c r="E148" s="20"/>
      <c r="F148" s="34" t="e">
        <f t="shared" si="20"/>
        <v>#DIV/0!</v>
      </c>
      <c r="G148" s="20" t="e">
        <f t="shared" si="16"/>
        <v>#DIV/0!</v>
      </c>
      <c r="H148" s="20" t="e">
        <f t="shared" si="17"/>
        <v>#DIV/0!</v>
      </c>
      <c r="I148" s="20" t="e">
        <f t="shared" si="18"/>
        <v>#DIV/0!</v>
      </c>
      <c r="J148" s="20" t="e">
        <f t="shared" si="19"/>
        <v>#DIV/0!</v>
      </c>
      <c r="K148" s="33"/>
      <c r="L148" s="20"/>
      <c r="M148" s="60"/>
      <c r="N148" s="27"/>
      <c r="O148" s="27"/>
      <c r="P148" s="27"/>
      <c r="Q148" s="27"/>
      <c r="R148" s="27"/>
      <c r="S148" s="28"/>
      <c r="T148" s="20"/>
    </row>
    <row r="149" spans="1:23" x14ac:dyDescent="0.2">
      <c r="A149" s="32"/>
      <c r="B149" s="20"/>
      <c r="C149" s="20"/>
      <c r="D149" s="20">
        <v>70</v>
      </c>
      <c r="E149" s="20"/>
      <c r="F149" s="34" t="e">
        <f t="shared" si="20"/>
        <v>#DIV/0!</v>
      </c>
      <c r="G149" s="20" t="e">
        <f t="shared" si="16"/>
        <v>#DIV/0!</v>
      </c>
      <c r="H149" s="20" t="e">
        <f t="shared" si="17"/>
        <v>#DIV/0!</v>
      </c>
      <c r="I149" s="20" t="e">
        <f t="shared" si="18"/>
        <v>#DIV/0!</v>
      </c>
      <c r="J149" s="20" t="e">
        <f t="shared" si="19"/>
        <v>#DIV/0!</v>
      </c>
      <c r="K149" s="33"/>
      <c r="L149" s="20"/>
      <c r="M149" s="32"/>
      <c r="N149" s="20"/>
      <c r="O149" s="20" t="s">
        <v>117</v>
      </c>
      <c r="P149" s="20"/>
      <c r="Q149" s="20"/>
      <c r="R149" s="20"/>
      <c r="S149" s="33"/>
      <c r="T149" s="20"/>
    </row>
    <row r="150" spans="1:23" x14ac:dyDescent="0.2">
      <c r="A150" s="32"/>
      <c r="B150" s="20"/>
      <c r="C150" s="20"/>
      <c r="D150" s="20">
        <v>71</v>
      </c>
      <c r="E150" s="20"/>
      <c r="F150" s="34" t="e">
        <f t="shared" si="20"/>
        <v>#DIV/0!</v>
      </c>
      <c r="G150" s="20" t="e">
        <f t="shared" si="16"/>
        <v>#DIV/0!</v>
      </c>
      <c r="H150" s="20" t="e">
        <f t="shared" si="17"/>
        <v>#DIV/0!</v>
      </c>
      <c r="I150" s="20" t="e">
        <f t="shared" si="18"/>
        <v>#DIV/0!</v>
      </c>
      <c r="J150" s="20" t="e">
        <f t="shared" si="19"/>
        <v>#DIV/0!</v>
      </c>
      <c r="K150" s="33"/>
      <c r="L150" s="20"/>
      <c r="M150" s="32" t="s">
        <v>110</v>
      </c>
      <c r="N150" s="20"/>
      <c r="O150" s="20" t="e">
        <f>MAX(H80:H104)</f>
        <v>#DIV/0!</v>
      </c>
      <c r="P150" s="20"/>
      <c r="Q150" s="20" t="e">
        <f>MAX(G80:G104)</f>
        <v>#DIV/0!</v>
      </c>
      <c r="R150" s="20"/>
      <c r="S150" s="33"/>
      <c r="T150" s="20"/>
    </row>
    <row r="151" spans="1:23" x14ac:dyDescent="0.2">
      <c r="A151" s="32"/>
      <c r="B151" s="20"/>
      <c r="C151" s="20"/>
      <c r="D151" s="20">
        <v>72</v>
      </c>
      <c r="E151" s="20"/>
      <c r="F151" s="34" t="e">
        <f t="shared" si="20"/>
        <v>#DIV/0!</v>
      </c>
      <c r="G151" s="20" t="e">
        <f t="shared" si="16"/>
        <v>#DIV/0!</v>
      </c>
      <c r="H151" s="20" t="e">
        <f t="shared" si="17"/>
        <v>#DIV/0!</v>
      </c>
      <c r="I151" s="20" t="e">
        <f t="shared" si="18"/>
        <v>#DIV/0!</v>
      </c>
      <c r="J151" s="20" t="e">
        <f t="shared" si="19"/>
        <v>#DIV/0!</v>
      </c>
      <c r="K151" s="33"/>
      <c r="L151" s="20"/>
      <c r="M151" s="32" t="s">
        <v>106</v>
      </c>
      <c r="N151" s="20"/>
      <c r="O151" s="20" t="e">
        <f>MAX(H105:H129)</f>
        <v>#DIV/0!</v>
      </c>
      <c r="P151" s="20"/>
      <c r="Q151" s="20" t="e">
        <f>MAX(G105:G129)</f>
        <v>#DIV/0!</v>
      </c>
      <c r="R151" s="20"/>
      <c r="S151" s="33"/>
      <c r="T151" s="20"/>
    </row>
    <row r="152" spans="1:23" x14ac:dyDescent="0.2">
      <c r="A152" s="32"/>
      <c r="B152" s="20"/>
      <c r="C152" s="20"/>
      <c r="D152" s="20">
        <v>73</v>
      </c>
      <c r="E152" s="20"/>
      <c r="F152" s="34" t="e">
        <f t="shared" si="20"/>
        <v>#DIV/0!</v>
      </c>
      <c r="G152" s="20" t="e">
        <f t="shared" si="16"/>
        <v>#DIV/0!</v>
      </c>
      <c r="H152" s="20" t="e">
        <f t="shared" si="17"/>
        <v>#DIV/0!</v>
      </c>
      <c r="I152" s="20" t="e">
        <f t="shared" si="18"/>
        <v>#DIV/0!</v>
      </c>
      <c r="J152" s="20" t="e">
        <f t="shared" si="19"/>
        <v>#DIV/0!</v>
      </c>
      <c r="K152" s="33"/>
      <c r="L152" s="20"/>
      <c r="M152" s="32" t="s">
        <v>118</v>
      </c>
      <c r="N152" s="20"/>
      <c r="O152" s="20" t="e">
        <f>MAX(H130:H154)</f>
        <v>#DIV/0!</v>
      </c>
      <c r="P152" s="20"/>
      <c r="Q152" s="20" t="e">
        <f>MAX(G130:G154)</f>
        <v>#DIV/0!</v>
      </c>
      <c r="R152" s="20"/>
      <c r="S152" s="33"/>
      <c r="T152" s="20"/>
    </row>
    <row r="153" spans="1:23" x14ac:dyDescent="0.2">
      <c r="A153" s="32"/>
      <c r="B153" s="20"/>
      <c r="C153" s="20"/>
      <c r="D153" s="20">
        <v>74</v>
      </c>
      <c r="E153" s="20"/>
      <c r="F153" s="34" t="e">
        <f t="shared" si="20"/>
        <v>#DIV/0!</v>
      </c>
      <c r="G153" s="20" t="e">
        <f t="shared" si="16"/>
        <v>#DIV/0!</v>
      </c>
      <c r="H153" s="20" t="e">
        <f t="shared" si="17"/>
        <v>#DIV/0!</v>
      </c>
      <c r="I153" s="20" t="e">
        <f t="shared" si="18"/>
        <v>#DIV/0!</v>
      </c>
      <c r="J153" s="20" t="e">
        <f t="shared" si="19"/>
        <v>#DIV/0!</v>
      </c>
      <c r="K153" s="33"/>
      <c r="L153" s="20"/>
      <c r="M153" s="32" t="s">
        <v>119</v>
      </c>
      <c r="N153" s="20"/>
      <c r="O153" s="20" t="e">
        <f>MAX(H155:H179)</f>
        <v>#DIV/0!</v>
      </c>
      <c r="P153" s="20"/>
      <c r="Q153" s="20" t="e">
        <f>MAX(G155:G179)</f>
        <v>#DIV/0!</v>
      </c>
      <c r="R153" s="20"/>
      <c r="S153" s="33"/>
      <c r="T153" s="20"/>
    </row>
    <row r="154" spans="1:23" x14ac:dyDescent="0.2">
      <c r="A154" s="32"/>
      <c r="B154" s="20"/>
      <c r="C154" s="20"/>
      <c r="D154" s="20">
        <v>75</v>
      </c>
      <c r="E154" s="20"/>
      <c r="F154" s="34" t="e">
        <f t="shared" si="20"/>
        <v>#DIV/0!</v>
      </c>
      <c r="G154" s="20" t="e">
        <f t="shared" si="16"/>
        <v>#DIV/0!</v>
      </c>
      <c r="H154" s="20" t="e">
        <f t="shared" si="17"/>
        <v>#DIV/0!</v>
      </c>
      <c r="I154" s="20" t="e">
        <f t="shared" si="18"/>
        <v>#DIV/0!</v>
      </c>
      <c r="J154" s="20" t="e">
        <f t="shared" si="19"/>
        <v>#DIV/0!</v>
      </c>
      <c r="K154" s="33"/>
      <c r="L154" s="20"/>
      <c r="M154" s="32"/>
      <c r="N154" s="20"/>
      <c r="O154" s="20" t="e">
        <f>MAX(H180:H204)</f>
        <v>#DIV/0!</v>
      </c>
      <c r="P154" s="20"/>
      <c r="Q154" s="20" t="e">
        <f>MAX(G180:G204)</f>
        <v>#DIV/0!</v>
      </c>
      <c r="R154" s="20"/>
      <c r="S154" s="33"/>
      <c r="T154" s="20"/>
    </row>
    <row r="155" spans="1:23" x14ac:dyDescent="0.2">
      <c r="A155" s="32"/>
      <c r="B155" s="20"/>
      <c r="C155" s="20"/>
      <c r="D155" s="20">
        <v>76</v>
      </c>
      <c r="E155" s="20"/>
      <c r="F155" s="34" t="e">
        <f t="shared" si="20"/>
        <v>#DIV/0!</v>
      </c>
      <c r="G155" s="20" t="e">
        <f t="shared" si="16"/>
        <v>#DIV/0!</v>
      </c>
      <c r="H155" s="20" t="e">
        <f t="shared" si="17"/>
        <v>#DIV/0!</v>
      </c>
      <c r="I155" s="20" t="e">
        <f t="shared" si="18"/>
        <v>#DIV/0!</v>
      </c>
      <c r="J155" s="20" t="e">
        <f t="shared" si="19"/>
        <v>#DIV/0!</v>
      </c>
      <c r="K155" s="33"/>
      <c r="L155" s="20"/>
      <c r="M155" s="32"/>
      <c r="N155" s="20"/>
      <c r="O155" s="20" t="e">
        <f>MAX(H205:H229)</f>
        <v>#DIV/0!</v>
      </c>
      <c r="P155" s="20"/>
      <c r="Q155" s="20" t="e">
        <f>MAX(G205:G229)</f>
        <v>#DIV/0!</v>
      </c>
      <c r="R155" s="20"/>
      <c r="S155" s="33"/>
      <c r="T155" s="20"/>
    </row>
    <row r="156" spans="1:23" x14ac:dyDescent="0.2">
      <c r="A156" s="32"/>
      <c r="B156" s="20"/>
      <c r="C156" s="20"/>
      <c r="D156" s="20">
        <v>77</v>
      </c>
      <c r="E156" s="20"/>
      <c r="F156" s="34" t="e">
        <f t="shared" si="20"/>
        <v>#DIV/0!</v>
      </c>
      <c r="G156" s="20" t="e">
        <f t="shared" si="16"/>
        <v>#DIV/0!</v>
      </c>
      <c r="H156" s="20" t="e">
        <f t="shared" si="17"/>
        <v>#DIV/0!</v>
      </c>
      <c r="I156" s="20" t="e">
        <f t="shared" si="18"/>
        <v>#DIV/0!</v>
      </c>
      <c r="J156" s="20" t="e">
        <f t="shared" si="19"/>
        <v>#DIV/0!</v>
      </c>
      <c r="K156" s="33"/>
      <c r="L156" s="20"/>
      <c r="M156" s="32"/>
      <c r="N156" s="20"/>
      <c r="O156" s="20" t="e">
        <f>MAX(H230:H254)</f>
        <v>#DIV/0!</v>
      </c>
      <c r="P156" s="20"/>
      <c r="Q156" s="20" t="e">
        <f>MAX(G230:G254)</f>
        <v>#DIV/0!</v>
      </c>
      <c r="R156" s="20"/>
      <c r="S156" s="33"/>
      <c r="T156" s="20"/>
    </row>
    <row r="157" spans="1:23" x14ac:dyDescent="0.2">
      <c r="A157" s="32"/>
      <c r="B157" s="20"/>
      <c r="C157" s="20"/>
      <c r="D157" s="20">
        <v>78</v>
      </c>
      <c r="E157" s="20"/>
      <c r="F157" s="34" t="e">
        <f t="shared" si="20"/>
        <v>#DIV/0!</v>
      </c>
      <c r="G157" s="20" t="e">
        <f t="shared" si="16"/>
        <v>#DIV/0!</v>
      </c>
      <c r="H157" s="20" t="e">
        <f t="shared" si="17"/>
        <v>#DIV/0!</v>
      </c>
      <c r="I157" s="20" t="e">
        <f t="shared" si="18"/>
        <v>#DIV/0!</v>
      </c>
      <c r="J157" s="20" t="e">
        <f t="shared" si="19"/>
        <v>#DIV/0!</v>
      </c>
      <c r="K157" s="33"/>
      <c r="L157" s="20"/>
      <c r="M157" s="32"/>
      <c r="N157" s="20"/>
      <c r="O157" s="20" t="e">
        <f>MAX(H254:H279)</f>
        <v>#DIV/0!</v>
      </c>
      <c r="P157" s="20"/>
      <c r="Q157" s="20" t="e">
        <f>MAX(G254:G279)</f>
        <v>#DIV/0!</v>
      </c>
      <c r="R157" s="20"/>
      <c r="S157" s="33"/>
      <c r="T157" s="20"/>
    </row>
    <row r="158" spans="1:23" x14ac:dyDescent="0.2">
      <c r="A158" s="32"/>
      <c r="B158" s="20"/>
      <c r="C158" s="20"/>
      <c r="D158" s="20">
        <v>79</v>
      </c>
      <c r="E158" s="20"/>
      <c r="F158" s="34" t="e">
        <f t="shared" si="20"/>
        <v>#DIV/0!</v>
      </c>
      <c r="G158" s="20" t="e">
        <f t="shared" si="16"/>
        <v>#DIV/0!</v>
      </c>
      <c r="H158" s="20" t="e">
        <f t="shared" si="17"/>
        <v>#DIV/0!</v>
      </c>
      <c r="I158" s="20" t="e">
        <f t="shared" si="18"/>
        <v>#DIV/0!</v>
      </c>
      <c r="J158" s="20" t="e">
        <f t="shared" si="19"/>
        <v>#DIV/0!</v>
      </c>
      <c r="K158" s="33"/>
      <c r="L158" s="20"/>
      <c r="M158" s="32"/>
      <c r="N158" s="20"/>
      <c r="O158" s="20"/>
      <c r="P158" s="20"/>
      <c r="Q158" s="20"/>
      <c r="R158" s="20"/>
      <c r="S158" s="33"/>
      <c r="T158" s="20"/>
    </row>
    <row r="159" spans="1:23" x14ac:dyDescent="0.2">
      <c r="A159" s="32"/>
      <c r="B159" s="20"/>
      <c r="C159" s="20"/>
      <c r="D159" s="20">
        <v>80</v>
      </c>
      <c r="E159" s="20"/>
      <c r="F159" s="34" t="e">
        <f t="shared" si="20"/>
        <v>#DIV/0!</v>
      </c>
      <c r="G159" s="20" t="e">
        <f t="shared" si="16"/>
        <v>#DIV/0!</v>
      </c>
      <c r="H159" s="20" t="e">
        <f t="shared" si="17"/>
        <v>#DIV/0!</v>
      </c>
      <c r="I159" s="20" t="e">
        <f t="shared" si="18"/>
        <v>#DIV/0!</v>
      </c>
      <c r="J159" s="20" t="e">
        <f t="shared" si="19"/>
        <v>#DIV/0!</v>
      </c>
      <c r="K159" s="33"/>
      <c r="L159" s="20"/>
      <c r="M159" s="44" t="s">
        <v>94</v>
      </c>
      <c r="N159" s="46"/>
      <c r="O159" s="46" t="e">
        <f>MAX(O150:O157)</f>
        <v>#DIV/0!</v>
      </c>
      <c r="P159" s="46"/>
      <c r="Q159" s="46" t="e">
        <f>MAX(Q150:Q157)</f>
        <v>#DIV/0!</v>
      </c>
      <c r="R159" s="46"/>
      <c r="S159" s="48" t="e">
        <f>MAX(O159,Q159)</f>
        <v>#DIV/0!</v>
      </c>
      <c r="T159" s="20"/>
    </row>
    <row r="160" spans="1:23" x14ac:dyDescent="0.2">
      <c r="A160" s="105"/>
      <c r="D160" s="19">
        <v>81</v>
      </c>
      <c r="F160" s="37" t="e">
        <f t="shared" si="20"/>
        <v>#DIV/0!</v>
      </c>
      <c r="G160" s="19" t="e">
        <f t="shared" si="16"/>
        <v>#DIV/0!</v>
      </c>
      <c r="H160" s="19" t="e">
        <f t="shared" si="17"/>
        <v>#DIV/0!</v>
      </c>
      <c r="I160" s="19" t="e">
        <f t="shared" si="18"/>
        <v>#DIV/0!</v>
      </c>
      <c r="J160" s="19" t="e">
        <f t="shared" si="19"/>
        <v>#DIV/0!</v>
      </c>
      <c r="K160" s="106"/>
    </row>
    <row r="161" spans="1:11" x14ac:dyDescent="0.2">
      <c r="A161" s="105"/>
      <c r="D161" s="19">
        <v>82</v>
      </c>
      <c r="F161" s="37" t="e">
        <f t="shared" si="20"/>
        <v>#DIV/0!</v>
      </c>
      <c r="G161" s="19" t="e">
        <f t="shared" si="16"/>
        <v>#DIV/0!</v>
      </c>
      <c r="H161" s="19" t="e">
        <f t="shared" si="17"/>
        <v>#DIV/0!</v>
      </c>
      <c r="I161" s="19" t="e">
        <f t="shared" si="18"/>
        <v>#DIV/0!</v>
      </c>
      <c r="J161" s="19" t="e">
        <f t="shared" si="19"/>
        <v>#DIV/0!</v>
      </c>
      <c r="K161" s="106"/>
    </row>
    <row r="162" spans="1:11" x14ac:dyDescent="0.2">
      <c r="A162" s="105"/>
      <c r="D162" s="19">
        <v>83</v>
      </c>
      <c r="F162" s="37" t="e">
        <f t="shared" si="20"/>
        <v>#DIV/0!</v>
      </c>
      <c r="G162" s="19" t="e">
        <f t="shared" si="16"/>
        <v>#DIV/0!</v>
      </c>
      <c r="H162" s="19" t="e">
        <f t="shared" si="17"/>
        <v>#DIV/0!</v>
      </c>
      <c r="I162" s="19" t="e">
        <f t="shared" si="18"/>
        <v>#DIV/0!</v>
      </c>
      <c r="J162" s="19" t="e">
        <f t="shared" si="19"/>
        <v>#DIV/0!</v>
      </c>
      <c r="K162" s="106"/>
    </row>
    <row r="163" spans="1:11" x14ac:dyDescent="0.2">
      <c r="A163" s="105"/>
      <c r="D163" s="19">
        <v>84</v>
      </c>
      <c r="F163" s="37" t="e">
        <f t="shared" si="20"/>
        <v>#DIV/0!</v>
      </c>
      <c r="G163" s="19" t="e">
        <f t="shared" si="16"/>
        <v>#DIV/0!</v>
      </c>
      <c r="H163" s="19" t="e">
        <f t="shared" si="17"/>
        <v>#DIV/0!</v>
      </c>
      <c r="I163" s="19" t="e">
        <f t="shared" si="18"/>
        <v>#DIV/0!</v>
      </c>
      <c r="J163" s="19" t="e">
        <f t="shared" si="19"/>
        <v>#DIV/0!</v>
      </c>
      <c r="K163" s="106"/>
    </row>
    <row r="164" spans="1:11" x14ac:dyDescent="0.2">
      <c r="A164" s="105"/>
      <c r="D164" s="19">
        <v>85</v>
      </c>
      <c r="F164" s="37" t="e">
        <f t="shared" si="20"/>
        <v>#DIV/0!</v>
      </c>
      <c r="G164" s="19" t="e">
        <f t="shared" si="16"/>
        <v>#DIV/0!</v>
      </c>
      <c r="H164" s="19" t="e">
        <f t="shared" si="17"/>
        <v>#DIV/0!</v>
      </c>
      <c r="I164" s="19" t="e">
        <f t="shared" si="18"/>
        <v>#DIV/0!</v>
      </c>
      <c r="J164" s="19" t="e">
        <f t="shared" si="19"/>
        <v>#DIV/0!</v>
      </c>
      <c r="K164" s="106"/>
    </row>
    <row r="165" spans="1:11" x14ac:dyDescent="0.2">
      <c r="A165" s="105"/>
      <c r="D165" s="19">
        <v>86</v>
      </c>
      <c r="F165" s="37" t="e">
        <f t="shared" si="20"/>
        <v>#DIV/0!</v>
      </c>
      <c r="G165" s="19" t="e">
        <f t="shared" si="16"/>
        <v>#DIV/0!</v>
      </c>
      <c r="H165" s="19" t="e">
        <f t="shared" si="17"/>
        <v>#DIV/0!</v>
      </c>
      <c r="I165" s="19" t="e">
        <f t="shared" si="18"/>
        <v>#DIV/0!</v>
      </c>
      <c r="J165" s="19" t="e">
        <f t="shared" si="19"/>
        <v>#DIV/0!</v>
      </c>
      <c r="K165" s="106"/>
    </row>
    <row r="166" spans="1:11" x14ac:dyDescent="0.2">
      <c r="A166" s="105"/>
      <c r="D166" s="19">
        <v>87</v>
      </c>
      <c r="F166" s="37" t="e">
        <f t="shared" si="20"/>
        <v>#DIV/0!</v>
      </c>
      <c r="G166" s="19" t="e">
        <f t="shared" si="16"/>
        <v>#DIV/0!</v>
      </c>
      <c r="H166" s="19" t="e">
        <f t="shared" si="17"/>
        <v>#DIV/0!</v>
      </c>
      <c r="I166" s="19" t="e">
        <f t="shared" si="18"/>
        <v>#DIV/0!</v>
      </c>
      <c r="J166" s="19" t="e">
        <f t="shared" si="19"/>
        <v>#DIV/0!</v>
      </c>
      <c r="K166" s="106"/>
    </row>
    <row r="167" spans="1:11" x14ac:dyDescent="0.2">
      <c r="A167" s="105"/>
      <c r="D167" s="19">
        <v>88</v>
      </c>
      <c r="F167" s="37" t="e">
        <f t="shared" si="20"/>
        <v>#DIV/0!</v>
      </c>
      <c r="G167" s="19" t="e">
        <f t="shared" si="16"/>
        <v>#DIV/0!</v>
      </c>
      <c r="H167" s="19" t="e">
        <f t="shared" si="17"/>
        <v>#DIV/0!</v>
      </c>
      <c r="I167" s="19" t="e">
        <f t="shared" si="18"/>
        <v>#DIV/0!</v>
      </c>
      <c r="J167" s="19" t="e">
        <f t="shared" si="19"/>
        <v>#DIV/0!</v>
      </c>
      <c r="K167" s="106"/>
    </row>
    <row r="168" spans="1:11" x14ac:dyDescent="0.2">
      <c r="A168" s="105"/>
      <c r="D168" s="19">
        <v>89</v>
      </c>
      <c r="F168" s="37" t="e">
        <f t="shared" si="20"/>
        <v>#DIV/0!</v>
      </c>
      <c r="G168" s="19" t="e">
        <f t="shared" si="16"/>
        <v>#DIV/0!</v>
      </c>
      <c r="H168" s="19" t="e">
        <f t="shared" si="17"/>
        <v>#DIV/0!</v>
      </c>
      <c r="I168" s="19" t="e">
        <f t="shared" si="18"/>
        <v>#DIV/0!</v>
      </c>
      <c r="J168" s="19" t="e">
        <f t="shared" si="19"/>
        <v>#DIV/0!</v>
      </c>
      <c r="K168" s="106"/>
    </row>
    <row r="169" spans="1:11" x14ac:dyDescent="0.2">
      <c r="A169" s="105"/>
      <c r="D169" s="19">
        <v>90</v>
      </c>
      <c r="F169" s="37" t="e">
        <f t="shared" si="20"/>
        <v>#DIV/0!</v>
      </c>
      <c r="G169" s="19" t="e">
        <f t="shared" si="16"/>
        <v>#DIV/0!</v>
      </c>
      <c r="H169" s="19" t="e">
        <f t="shared" si="17"/>
        <v>#DIV/0!</v>
      </c>
      <c r="I169" s="19" t="e">
        <f t="shared" si="18"/>
        <v>#DIV/0!</v>
      </c>
      <c r="J169" s="19" t="e">
        <f t="shared" si="19"/>
        <v>#DIV/0!</v>
      </c>
      <c r="K169" s="106"/>
    </row>
    <row r="170" spans="1:11" x14ac:dyDescent="0.2">
      <c r="A170" s="105"/>
      <c r="D170" s="19">
        <v>91</v>
      </c>
      <c r="F170" s="37" t="e">
        <f t="shared" si="20"/>
        <v>#DIV/0!</v>
      </c>
      <c r="G170" s="19" t="e">
        <f t="shared" si="16"/>
        <v>#DIV/0!</v>
      </c>
      <c r="H170" s="19" t="e">
        <f t="shared" si="17"/>
        <v>#DIV/0!</v>
      </c>
      <c r="I170" s="19" t="e">
        <f t="shared" si="18"/>
        <v>#DIV/0!</v>
      </c>
      <c r="J170" s="19" t="e">
        <f t="shared" si="19"/>
        <v>#DIV/0!</v>
      </c>
      <c r="K170" s="106"/>
    </row>
    <row r="171" spans="1:11" x14ac:dyDescent="0.2">
      <c r="A171" s="105"/>
      <c r="D171" s="19">
        <v>92</v>
      </c>
      <c r="F171" s="37" t="e">
        <f t="shared" si="20"/>
        <v>#DIV/0!</v>
      </c>
      <c r="G171" s="19" t="e">
        <f t="shared" si="16"/>
        <v>#DIV/0!</v>
      </c>
      <c r="H171" s="19" t="e">
        <f t="shared" si="17"/>
        <v>#DIV/0!</v>
      </c>
      <c r="I171" s="19" t="e">
        <f t="shared" si="18"/>
        <v>#DIV/0!</v>
      </c>
      <c r="J171" s="19" t="e">
        <f t="shared" si="19"/>
        <v>#DIV/0!</v>
      </c>
      <c r="K171" s="106"/>
    </row>
    <row r="172" spans="1:11" x14ac:dyDescent="0.2">
      <c r="A172" s="105"/>
      <c r="D172" s="19">
        <v>93</v>
      </c>
      <c r="F172" s="37" t="e">
        <f t="shared" si="20"/>
        <v>#DIV/0!</v>
      </c>
      <c r="G172" s="19" t="e">
        <f t="shared" si="16"/>
        <v>#DIV/0!</v>
      </c>
      <c r="H172" s="19" t="e">
        <f t="shared" si="17"/>
        <v>#DIV/0!</v>
      </c>
      <c r="I172" s="19" t="e">
        <f t="shared" si="18"/>
        <v>#DIV/0!</v>
      </c>
      <c r="J172" s="19" t="e">
        <f t="shared" si="19"/>
        <v>#DIV/0!</v>
      </c>
      <c r="K172" s="106"/>
    </row>
    <row r="173" spans="1:11" x14ac:dyDescent="0.2">
      <c r="A173" s="105"/>
      <c r="D173" s="19">
        <v>94</v>
      </c>
      <c r="F173" s="37" t="e">
        <f t="shared" si="20"/>
        <v>#DIV/0!</v>
      </c>
      <c r="G173" s="19" t="e">
        <f t="shared" si="16"/>
        <v>#DIV/0!</v>
      </c>
      <c r="H173" s="19" t="e">
        <f t="shared" si="17"/>
        <v>#DIV/0!</v>
      </c>
      <c r="I173" s="19" t="e">
        <f t="shared" si="18"/>
        <v>#DIV/0!</v>
      </c>
      <c r="J173" s="19" t="e">
        <f t="shared" si="19"/>
        <v>#DIV/0!</v>
      </c>
      <c r="K173" s="106"/>
    </row>
    <row r="174" spans="1:11" x14ac:dyDescent="0.2">
      <c r="A174" s="105"/>
      <c r="D174" s="19">
        <v>95</v>
      </c>
      <c r="F174" s="37" t="e">
        <f t="shared" si="20"/>
        <v>#DIV/0!</v>
      </c>
      <c r="G174" s="19" t="e">
        <f t="shared" si="16"/>
        <v>#DIV/0!</v>
      </c>
      <c r="H174" s="19" t="e">
        <f t="shared" si="17"/>
        <v>#DIV/0!</v>
      </c>
      <c r="I174" s="19" t="e">
        <f t="shared" si="18"/>
        <v>#DIV/0!</v>
      </c>
      <c r="J174" s="19" t="e">
        <f t="shared" si="19"/>
        <v>#DIV/0!</v>
      </c>
      <c r="K174" s="106"/>
    </row>
    <row r="175" spans="1:11" x14ac:dyDescent="0.2">
      <c r="A175" s="105"/>
      <c r="D175" s="19">
        <v>96</v>
      </c>
      <c r="F175" s="37" t="e">
        <f t="shared" si="20"/>
        <v>#DIV/0!</v>
      </c>
      <c r="G175" s="19" t="e">
        <f t="shared" si="16"/>
        <v>#DIV/0!</v>
      </c>
      <c r="H175" s="19" t="e">
        <f t="shared" si="17"/>
        <v>#DIV/0!</v>
      </c>
      <c r="I175" s="19" t="e">
        <f t="shared" si="18"/>
        <v>#DIV/0!</v>
      </c>
      <c r="J175" s="19" t="e">
        <f t="shared" si="19"/>
        <v>#DIV/0!</v>
      </c>
      <c r="K175" s="106"/>
    </row>
    <row r="176" spans="1:11" x14ac:dyDescent="0.2">
      <c r="A176" s="105"/>
      <c r="D176" s="19">
        <v>97</v>
      </c>
      <c r="F176" s="37" t="e">
        <f t="shared" si="20"/>
        <v>#DIV/0!</v>
      </c>
      <c r="G176" s="19" t="e">
        <f t="shared" si="16"/>
        <v>#DIV/0!</v>
      </c>
      <c r="H176" s="19" t="e">
        <f t="shared" si="17"/>
        <v>#DIV/0!</v>
      </c>
      <c r="I176" s="19" t="e">
        <f t="shared" si="18"/>
        <v>#DIV/0!</v>
      </c>
      <c r="J176" s="19" t="e">
        <f t="shared" si="19"/>
        <v>#DIV/0!</v>
      </c>
      <c r="K176" s="106"/>
    </row>
    <row r="177" spans="1:11" x14ac:dyDescent="0.2">
      <c r="A177" s="105"/>
      <c r="D177" s="19">
        <v>98</v>
      </c>
      <c r="F177" s="37" t="e">
        <f t="shared" si="20"/>
        <v>#DIV/0!</v>
      </c>
      <c r="G177" s="19" t="e">
        <f t="shared" si="16"/>
        <v>#DIV/0!</v>
      </c>
      <c r="H177" s="19" t="e">
        <f t="shared" si="17"/>
        <v>#DIV/0!</v>
      </c>
      <c r="I177" s="19" t="e">
        <f t="shared" si="18"/>
        <v>#DIV/0!</v>
      </c>
      <c r="J177" s="19" t="e">
        <f t="shared" si="19"/>
        <v>#DIV/0!</v>
      </c>
      <c r="K177" s="106"/>
    </row>
    <row r="178" spans="1:11" x14ac:dyDescent="0.2">
      <c r="A178" s="105"/>
      <c r="D178" s="19">
        <v>99</v>
      </c>
      <c r="F178" s="37" t="e">
        <f t="shared" si="20"/>
        <v>#DIV/0!</v>
      </c>
      <c r="G178" s="19" t="e">
        <f t="shared" si="16"/>
        <v>#DIV/0!</v>
      </c>
      <c r="H178" s="19" t="e">
        <f t="shared" si="17"/>
        <v>#DIV/0!</v>
      </c>
      <c r="I178" s="19" t="e">
        <f t="shared" si="18"/>
        <v>#DIV/0!</v>
      </c>
      <c r="J178" s="19" t="e">
        <f t="shared" si="19"/>
        <v>#DIV/0!</v>
      </c>
      <c r="K178" s="106"/>
    </row>
    <row r="179" spans="1:11" x14ac:dyDescent="0.2">
      <c r="A179" s="105"/>
      <c r="D179" s="19">
        <v>100</v>
      </c>
      <c r="F179" s="37" t="e">
        <f t="shared" si="20"/>
        <v>#DIV/0!</v>
      </c>
      <c r="G179" s="19" t="e">
        <f t="shared" si="16"/>
        <v>#DIV/0!</v>
      </c>
      <c r="H179" s="19" t="e">
        <f t="shared" si="17"/>
        <v>#DIV/0!</v>
      </c>
      <c r="I179" s="19" t="e">
        <f t="shared" si="18"/>
        <v>#DIV/0!</v>
      </c>
      <c r="J179" s="19" t="e">
        <f t="shared" si="19"/>
        <v>#DIV/0!</v>
      </c>
      <c r="K179" s="106"/>
    </row>
    <row r="180" spans="1:11" x14ac:dyDescent="0.2">
      <c r="A180" s="115"/>
      <c r="D180" s="19">
        <v>101</v>
      </c>
      <c r="F180" s="37" t="e">
        <f t="shared" si="20"/>
        <v>#DIV/0!</v>
      </c>
      <c r="G180" s="19" t="e">
        <f t="shared" si="16"/>
        <v>#DIV/0!</v>
      </c>
      <c r="H180" s="19" t="e">
        <f t="shared" si="17"/>
        <v>#DIV/0!</v>
      </c>
      <c r="I180" s="19" t="e">
        <f t="shared" si="18"/>
        <v>#DIV/0!</v>
      </c>
      <c r="J180" s="19" t="e">
        <f t="shared" si="19"/>
        <v>#DIV/0!</v>
      </c>
    </row>
    <row r="181" spans="1:11" x14ac:dyDescent="0.2">
      <c r="D181" s="19">
        <v>102</v>
      </c>
      <c r="F181" s="37" t="e">
        <f t="shared" si="20"/>
        <v>#DIV/0!</v>
      </c>
      <c r="G181" s="19" t="e">
        <f t="shared" si="16"/>
        <v>#DIV/0!</v>
      </c>
      <c r="H181" s="19" t="e">
        <f t="shared" si="17"/>
        <v>#DIV/0!</v>
      </c>
      <c r="I181" s="19" t="e">
        <f t="shared" si="18"/>
        <v>#DIV/0!</v>
      </c>
      <c r="J181" s="19" t="e">
        <f t="shared" si="19"/>
        <v>#DIV/0!</v>
      </c>
    </row>
    <row r="182" spans="1:11" x14ac:dyDescent="0.2">
      <c r="D182" s="19">
        <v>103</v>
      </c>
      <c r="F182" s="37" t="e">
        <f t="shared" si="20"/>
        <v>#DIV/0!</v>
      </c>
      <c r="G182" s="19" t="e">
        <f t="shared" si="16"/>
        <v>#DIV/0!</v>
      </c>
      <c r="H182" s="19" t="e">
        <f t="shared" si="17"/>
        <v>#DIV/0!</v>
      </c>
      <c r="I182" s="19" t="e">
        <f t="shared" si="18"/>
        <v>#DIV/0!</v>
      </c>
      <c r="J182" s="19" t="e">
        <f t="shared" si="19"/>
        <v>#DIV/0!</v>
      </c>
    </row>
    <row r="183" spans="1:11" x14ac:dyDescent="0.2">
      <c r="D183" s="19">
        <v>104</v>
      </c>
      <c r="F183" s="37" t="e">
        <f t="shared" si="20"/>
        <v>#DIV/0!</v>
      </c>
      <c r="G183" s="19" t="e">
        <f t="shared" si="16"/>
        <v>#DIV/0!</v>
      </c>
      <c r="H183" s="19" t="e">
        <f t="shared" si="17"/>
        <v>#DIV/0!</v>
      </c>
      <c r="I183" s="19" t="e">
        <f t="shared" si="18"/>
        <v>#DIV/0!</v>
      </c>
      <c r="J183" s="19" t="e">
        <f t="shared" si="19"/>
        <v>#DIV/0!</v>
      </c>
    </row>
    <row r="184" spans="1:11" x14ac:dyDescent="0.2">
      <c r="D184" s="19">
        <v>105</v>
      </c>
      <c r="F184" s="37" t="e">
        <f t="shared" si="20"/>
        <v>#DIV/0!</v>
      </c>
      <c r="G184" s="19" t="e">
        <f t="shared" si="16"/>
        <v>#DIV/0!</v>
      </c>
      <c r="H184" s="19" t="e">
        <f t="shared" si="17"/>
        <v>#DIV/0!</v>
      </c>
      <c r="I184" s="19" t="e">
        <f t="shared" si="18"/>
        <v>#DIV/0!</v>
      </c>
      <c r="J184" s="19" t="e">
        <f t="shared" si="19"/>
        <v>#DIV/0!</v>
      </c>
    </row>
    <row r="185" spans="1:11" x14ac:dyDescent="0.2">
      <c r="D185" s="19">
        <v>106</v>
      </c>
      <c r="F185" s="37" t="e">
        <f t="shared" si="20"/>
        <v>#DIV/0!</v>
      </c>
      <c r="G185" s="19" t="e">
        <f t="shared" si="16"/>
        <v>#DIV/0!</v>
      </c>
      <c r="H185" s="19" t="e">
        <f t="shared" si="17"/>
        <v>#DIV/0!</v>
      </c>
      <c r="I185" s="19" t="e">
        <f t="shared" si="18"/>
        <v>#DIV/0!</v>
      </c>
      <c r="J185" s="19" t="e">
        <f t="shared" si="19"/>
        <v>#DIV/0!</v>
      </c>
    </row>
    <row r="186" spans="1:11" x14ac:dyDescent="0.2">
      <c r="D186" s="19">
        <v>107</v>
      </c>
      <c r="F186" s="37" t="e">
        <f t="shared" si="20"/>
        <v>#DIV/0!</v>
      </c>
      <c r="G186" s="19" t="e">
        <f t="shared" si="16"/>
        <v>#DIV/0!</v>
      </c>
      <c r="H186" s="19" t="e">
        <f t="shared" si="17"/>
        <v>#DIV/0!</v>
      </c>
      <c r="I186" s="19" t="e">
        <f t="shared" si="18"/>
        <v>#DIV/0!</v>
      </c>
      <c r="J186" s="19" t="e">
        <f t="shared" si="19"/>
        <v>#DIV/0!</v>
      </c>
    </row>
    <row r="187" spans="1:11" x14ac:dyDescent="0.2">
      <c r="D187" s="19">
        <v>108</v>
      </c>
      <c r="F187" s="37" t="e">
        <f t="shared" si="20"/>
        <v>#DIV/0!</v>
      </c>
      <c r="G187" s="19" t="e">
        <f t="shared" si="16"/>
        <v>#DIV/0!</v>
      </c>
      <c r="H187" s="19" t="e">
        <f t="shared" si="17"/>
        <v>#DIV/0!</v>
      </c>
      <c r="I187" s="19" t="e">
        <f t="shared" si="18"/>
        <v>#DIV/0!</v>
      </c>
      <c r="J187" s="19" t="e">
        <f t="shared" si="19"/>
        <v>#DIV/0!</v>
      </c>
    </row>
    <row r="188" spans="1:11" x14ac:dyDescent="0.2">
      <c r="D188" s="19">
        <v>109</v>
      </c>
      <c r="F188" s="37" t="e">
        <f t="shared" si="20"/>
        <v>#DIV/0!</v>
      </c>
      <c r="G188" s="19" t="e">
        <f t="shared" si="16"/>
        <v>#DIV/0!</v>
      </c>
      <c r="H188" s="19" t="e">
        <f t="shared" si="17"/>
        <v>#DIV/0!</v>
      </c>
      <c r="I188" s="19" t="e">
        <f t="shared" si="18"/>
        <v>#DIV/0!</v>
      </c>
      <c r="J188" s="19" t="e">
        <f t="shared" si="19"/>
        <v>#DIV/0!</v>
      </c>
    </row>
    <row r="189" spans="1:11" x14ac:dyDescent="0.2">
      <c r="D189" s="19">
        <v>110</v>
      </c>
      <c r="F189" s="37" t="e">
        <f t="shared" si="20"/>
        <v>#DIV/0!</v>
      </c>
      <c r="G189" s="19" t="e">
        <f t="shared" si="16"/>
        <v>#DIV/0!</v>
      </c>
      <c r="H189" s="19" t="e">
        <f t="shared" si="17"/>
        <v>#DIV/0!</v>
      </c>
      <c r="I189" s="19" t="e">
        <f t="shared" si="18"/>
        <v>#DIV/0!</v>
      </c>
      <c r="J189" s="19" t="e">
        <f t="shared" si="19"/>
        <v>#DIV/0!</v>
      </c>
    </row>
    <row r="190" spans="1:11" x14ac:dyDescent="0.2">
      <c r="D190" s="19">
        <v>111</v>
      </c>
      <c r="F190" s="37" t="e">
        <f t="shared" si="20"/>
        <v>#DIV/0!</v>
      </c>
      <c r="G190" s="19" t="e">
        <f t="shared" si="16"/>
        <v>#DIV/0!</v>
      </c>
      <c r="H190" s="19" t="e">
        <f t="shared" si="17"/>
        <v>#DIV/0!</v>
      </c>
      <c r="I190" s="19" t="e">
        <f t="shared" si="18"/>
        <v>#DIV/0!</v>
      </c>
      <c r="J190" s="19" t="e">
        <f t="shared" si="19"/>
        <v>#DIV/0!</v>
      </c>
    </row>
    <row r="191" spans="1:11" x14ac:dyDescent="0.2">
      <c r="D191" s="19">
        <v>112</v>
      </c>
      <c r="F191" s="37" t="e">
        <f t="shared" si="20"/>
        <v>#DIV/0!</v>
      </c>
      <c r="G191" s="19" t="e">
        <f t="shared" si="16"/>
        <v>#DIV/0!</v>
      </c>
      <c r="H191" s="19" t="e">
        <f t="shared" si="17"/>
        <v>#DIV/0!</v>
      </c>
      <c r="I191" s="19" t="e">
        <f t="shared" si="18"/>
        <v>#DIV/0!</v>
      </c>
      <c r="J191" s="19" t="e">
        <f t="shared" si="19"/>
        <v>#DIV/0!</v>
      </c>
    </row>
    <row r="192" spans="1:11" x14ac:dyDescent="0.2">
      <c r="D192" s="19">
        <v>113</v>
      </c>
      <c r="F192" s="37" t="e">
        <f t="shared" si="20"/>
        <v>#DIV/0!</v>
      </c>
      <c r="G192" s="19" t="e">
        <f t="shared" si="16"/>
        <v>#DIV/0!</v>
      </c>
      <c r="H192" s="19" t="e">
        <f t="shared" si="17"/>
        <v>#DIV/0!</v>
      </c>
      <c r="I192" s="19" t="e">
        <f t="shared" si="18"/>
        <v>#DIV/0!</v>
      </c>
      <c r="J192" s="19" t="e">
        <f t="shared" si="19"/>
        <v>#DIV/0!</v>
      </c>
    </row>
    <row r="193" spans="4:10" x14ac:dyDescent="0.2">
      <c r="D193" s="19">
        <v>114</v>
      </c>
      <c r="F193" s="37" t="e">
        <f t="shared" si="20"/>
        <v>#DIV/0!</v>
      </c>
      <c r="G193" s="19" t="e">
        <f t="shared" si="16"/>
        <v>#DIV/0!</v>
      </c>
      <c r="H193" s="19" t="e">
        <f t="shared" si="17"/>
        <v>#DIV/0!</v>
      </c>
      <c r="I193" s="19" t="e">
        <f t="shared" si="18"/>
        <v>#DIV/0!</v>
      </c>
      <c r="J193" s="19" t="e">
        <f t="shared" si="19"/>
        <v>#DIV/0!</v>
      </c>
    </row>
    <row r="194" spans="4:10" x14ac:dyDescent="0.2">
      <c r="D194" s="19">
        <v>115</v>
      </c>
      <c r="F194" s="37" t="e">
        <f t="shared" si="20"/>
        <v>#DIV/0!</v>
      </c>
      <c r="G194" s="19" t="e">
        <f t="shared" si="16"/>
        <v>#DIV/0!</v>
      </c>
      <c r="H194" s="19" t="e">
        <f t="shared" si="17"/>
        <v>#DIV/0!</v>
      </c>
      <c r="I194" s="19" t="e">
        <f t="shared" si="18"/>
        <v>#DIV/0!</v>
      </c>
      <c r="J194" s="19" t="e">
        <f t="shared" si="19"/>
        <v>#DIV/0!</v>
      </c>
    </row>
    <row r="195" spans="4:10" x14ac:dyDescent="0.2">
      <c r="D195" s="19">
        <v>116</v>
      </c>
      <c r="F195" s="37" t="e">
        <f t="shared" si="20"/>
        <v>#DIV/0!</v>
      </c>
      <c r="G195" s="19" t="e">
        <f t="shared" si="16"/>
        <v>#DIV/0!</v>
      </c>
      <c r="H195" s="19" t="e">
        <f t="shared" si="17"/>
        <v>#DIV/0!</v>
      </c>
      <c r="I195" s="19" t="e">
        <f t="shared" si="18"/>
        <v>#DIV/0!</v>
      </c>
      <c r="J195" s="19" t="e">
        <f t="shared" si="19"/>
        <v>#DIV/0!</v>
      </c>
    </row>
    <row r="196" spans="4:10" x14ac:dyDescent="0.2">
      <c r="D196" s="19">
        <v>117</v>
      </c>
      <c r="F196" s="37" t="e">
        <f t="shared" si="20"/>
        <v>#DIV/0!</v>
      </c>
      <c r="G196" s="19" t="e">
        <f t="shared" si="16"/>
        <v>#DIV/0!</v>
      </c>
      <c r="H196" s="19" t="e">
        <f t="shared" si="17"/>
        <v>#DIV/0!</v>
      </c>
      <c r="I196" s="19" t="e">
        <f t="shared" si="18"/>
        <v>#DIV/0!</v>
      </c>
      <c r="J196" s="19" t="e">
        <f t="shared" si="19"/>
        <v>#DIV/0!</v>
      </c>
    </row>
    <row r="197" spans="4:10" x14ac:dyDescent="0.2">
      <c r="D197" s="19">
        <v>118</v>
      </c>
      <c r="F197" s="37" t="e">
        <f t="shared" si="20"/>
        <v>#DIV/0!</v>
      </c>
      <c r="G197" s="19" t="e">
        <f t="shared" si="16"/>
        <v>#DIV/0!</v>
      </c>
      <c r="H197" s="19" t="e">
        <f t="shared" si="17"/>
        <v>#DIV/0!</v>
      </c>
      <c r="I197" s="19" t="e">
        <f t="shared" si="18"/>
        <v>#DIV/0!</v>
      </c>
      <c r="J197" s="19" t="e">
        <f t="shared" si="19"/>
        <v>#DIV/0!</v>
      </c>
    </row>
    <row r="198" spans="4:10" x14ac:dyDescent="0.2">
      <c r="D198" s="19">
        <v>119</v>
      </c>
      <c r="F198" s="37" t="e">
        <f t="shared" si="20"/>
        <v>#DIV/0!</v>
      </c>
      <c r="G198" s="19" t="e">
        <f t="shared" si="16"/>
        <v>#DIV/0!</v>
      </c>
      <c r="H198" s="19" t="e">
        <f t="shared" si="17"/>
        <v>#DIV/0!</v>
      </c>
      <c r="I198" s="19" t="e">
        <f t="shared" si="18"/>
        <v>#DIV/0!</v>
      </c>
      <c r="J198" s="19" t="e">
        <f t="shared" si="19"/>
        <v>#DIV/0!</v>
      </c>
    </row>
    <row r="199" spans="4:10" x14ac:dyDescent="0.2">
      <c r="D199" s="19">
        <v>120</v>
      </c>
      <c r="F199" s="37" t="e">
        <f t="shared" si="20"/>
        <v>#DIV/0!</v>
      </c>
      <c r="G199" s="19" t="e">
        <f t="shared" si="16"/>
        <v>#DIV/0!</v>
      </c>
      <c r="H199" s="19" t="e">
        <f t="shared" si="17"/>
        <v>#DIV/0!</v>
      </c>
      <c r="I199" s="19" t="e">
        <f t="shared" si="18"/>
        <v>#DIV/0!</v>
      </c>
      <c r="J199" s="19" t="e">
        <f t="shared" si="19"/>
        <v>#DIV/0!</v>
      </c>
    </row>
    <row r="200" spans="4:10" x14ac:dyDescent="0.2">
      <c r="D200" s="19">
        <v>121</v>
      </c>
      <c r="F200" s="37" t="e">
        <f t="shared" si="20"/>
        <v>#DIV/0!</v>
      </c>
      <c r="G200" s="19" t="e">
        <f t="shared" si="16"/>
        <v>#DIV/0!</v>
      </c>
      <c r="H200" s="19" t="e">
        <f t="shared" si="17"/>
        <v>#DIV/0!</v>
      </c>
      <c r="I200" s="19" t="e">
        <f t="shared" si="18"/>
        <v>#DIV/0!</v>
      </c>
      <c r="J200" s="19" t="e">
        <f t="shared" si="19"/>
        <v>#DIV/0!</v>
      </c>
    </row>
    <row r="201" spans="4:10" x14ac:dyDescent="0.2">
      <c r="D201" s="19">
        <v>122</v>
      </c>
      <c r="F201" s="37" t="e">
        <f t="shared" si="20"/>
        <v>#DIV/0!</v>
      </c>
      <c r="G201" s="19" t="e">
        <f t="shared" si="16"/>
        <v>#DIV/0!</v>
      </c>
      <c r="H201" s="19" t="e">
        <f t="shared" si="17"/>
        <v>#DIV/0!</v>
      </c>
      <c r="I201" s="19" t="e">
        <f t="shared" si="18"/>
        <v>#DIV/0!</v>
      </c>
      <c r="J201" s="19" t="e">
        <f t="shared" si="19"/>
        <v>#DIV/0!</v>
      </c>
    </row>
    <row r="202" spans="4:10" x14ac:dyDescent="0.2">
      <c r="D202" s="19">
        <v>123</v>
      </c>
      <c r="F202" s="37" t="e">
        <f t="shared" si="20"/>
        <v>#DIV/0!</v>
      </c>
      <c r="G202" s="19" t="e">
        <f t="shared" si="16"/>
        <v>#DIV/0!</v>
      </c>
      <c r="H202" s="19" t="e">
        <f t="shared" si="17"/>
        <v>#DIV/0!</v>
      </c>
      <c r="I202" s="19" t="e">
        <f t="shared" si="18"/>
        <v>#DIV/0!</v>
      </c>
      <c r="J202" s="19" t="e">
        <f t="shared" si="19"/>
        <v>#DIV/0!</v>
      </c>
    </row>
    <row r="203" spans="4:10" x14ac:dyDescent="0.2">
      <c r="D203" s="19">
        <v>124</v>
      </c>
      <c r="F203" s="37" t="e">
        <f t="shared" si="20"/>
        <v>#DIV/0!</v>
      </c>
      <c r="G203" s="19" t="e">
        <f t="shared" si="16"/>
        <v>#DIV/0!</v>
      </c>
      <c r="H203" s="19" t="e">
        <f t="shared" si="17"/>
        <v>#DIV/0!</v>
      </c>
      <c r="I203" s="19" t="e">
        <f t="shared" si="18"/>
        <v>#DIV/0!</v>
      </c>
      <c r="J203" s="19" t="e">
        <f t="shared" si="19"/>
        <v>#DIV/0!</v>
      </c>
    </row>
    <row r="204" spans="4:10" x14ac:dyDescent="0.2">
      <c r="D204" s="19">
        <v>125</v>
      </c>
      <c r="F204" s="37" t="e">
        <f t="shared" si="20"/>
        <v>#DIV/0!</v>
      </c>
      <c r="G204" s="19" t="e">
        <f t="shared" si="16"/>
        <v>#DIV/0!</v>
      </c>
      <c r="H204" s="19" t="e">
        <f t="shared" si="17"/>
        <v>#DIV/0!</v>
      </c>
      <c r="I204" s="19" t="e">
        <f t="shared" si="18"/>
        <v>#DIV/0!</v>
      </c>
      <c r="J204" s="19" t="e">
        <f t="shared" si="19"/>
        <v>#DIV/0!</v>
      </c>
    </row>
    <row r="205" spans="4:10" x14ac:dyDescent="0.2">
      <c r="D205" s="19">
        <v>126</v>
      </c>
      <c r="F205" s="37" t="e">
        <f t="shared" si="20"/>
        <v>#DIV/0!</v>
      </c>
      <c r="G205" s="19" t="e">
        <f t="shared" si="16"/>
        <v>#DIV/0!</v>
      </c>
      <c r="H205" s="19" t="e">
        <f t="shared" si="17"/>
        <v>#DIV/0!</v>
      </c>
      <c r="I205" s="19" t="e">
        <f t="shared" si="18"/>
        <v>#DIV/0!</v>
      </c>
      <c r="J205" s="19" t="e">
        <f t="shared" si="19"/>
        <v>#DIV/0!</v>
      </c>
    </row>
    <row r="206" spans="4:10" x14ac:dyDescent="0.2">
      <c r="D206" s="19">
        <v>127</v>
      </c>
      <c r="F206" s="37" t="e">
        <f t="shared" si="20"/>
        <v>#DIV/0!</v>
      </c>
      <c r="G206" s="19" t="e">
        <f t="shared" si="16"/>
        <v>#DIV/0!</v>
      </c>
      <c r="H206" s="19" t="e">
        <f t="shared" si="17"/>
        <v>#DIV/0!</v>
      </c>
      <c r="I206" s="19" t="e">
        <f t="shared" si="18"/>
        <v>#DIV/0!</v>
      </c>
      <c r="J206" s="19" t="e">
        <f t="shared" si="19"/>
        <v>#DIV/0!</v>
      </c>
    </row>
    <row r="207" spans="4:10" x14ac:dyDescent="0.2">
      <c r="D207" s="19">
        <v>128</v>
      </c>
      <c r="F207" s="37" t="e">
        <f t="shared" si="20"/>
        <v>#DIV/0!</v>
      </c>
      <c r="G207" s="19" t="e">
        <f t="shared" si="16"/>
        <v>#DIV/0!</v>
      </c>
      <c r="H207" s="19" t="e">
        <f t="shared" si="17"/>
        <v>#DIV/0!</v>
      </c>
      <c r="I207" s="19" t="e">
        <f t="shared" si="18"/>
        <v>#DIV/0!</v>
      </c>
      <c r="J207" s="19" t="e">
        <f t="shared" si="19"/>
        <v>#DIV/0!</v>
      </c>
    </row>
    <row r="208" spans="4:10" x14ac:dyDescent="0.2">
      <c r="D208" s="19">
        <v>129</v>
      </c>
      <c r="F208" s="37" t="e">
        <f t="shared" si="20"/>
        <v>#DIV/0!</v>
      </c>
      <c r="G208" s="19" t="e">
        <f t="shared" ref="G208:G271" si="21">1/($A$80*SQRT(2*3.14))*EXP(-((F208-$AC$6)*(F208-$AC$6))/(($A$80*$A$80)*2))</f>
        <v>#DIV/0!</v>
      </c>
      <c r="H208" s="19" t="e">
        <f t="shared" ref="H208:H271" si="22">1/($AF$7*SQRT(2*3.14))*EXP(-((F208-$AF$6)*(F208-$AF$6))/(($AF$7*$AF$7)*2))</f>
        <v>#DIV/0!</v>
      </c>
      <c r="I208" s="19" t="e">
        <f t="shared" ref="I208:I271" si="23">IF(OR(J208-J207=1,J208-J207=-1),$S$159,0)</f>
        <v>#DIV/0!</v>
      </c>
      <c r="J208" s="19" t="e">
        <f t="shared" ref="J208:J271" si="24">IF(OR(F208&lt;$AF$8,F208&gt;$AF$9),0,1)</f>
        <v>#DIV/0!</v>
      </c>
    </row>
    <row r="209" spans="4:10" x14ac:dyDescent="0.2">
      <c r="D209" s="19">
        <v>130</v>
      </c>
      <c r="F209" s="37" t="e">
        <f t="shared" ref="F209:F272" si="25">F208+$Q$79</f>
        <v>#DIV/0!</v>
      </c>
      <c r="G209" s="19" t="e">
        <f t="shared" si="21"/>
        <v>#DIV/0!</v>
      </c>
      <c r="H209" s="19" t="e">
        <f t="shared" si="22"/>
        <v>#DIV/0!</v>
      </c>
      <c r="I209" s="19" t="e">
        <f t="shared" si="23"/>
        <v>#DIV/0!</v>
      </c>
      <c r="J209" s="19" t="e">
        <f t="shared" si="24"/>
        <v>#DIV/0!</v>
      </c>
    </row>
    <row r="210" spans="4:10" x14ac:dyDescent="0.2">
      <c r="D210" s="19">
        <v>131</v>
      </c>
      <c r="F210" s="37" t="e">
        <f t="shared" si="25"/>
        <v>#DIV/0!</v>
      </c>
      <c r="G210" s="19" t="e">
        <f t="shared" si="21"/>
        <v>#DIV/0!</v>
      </c>
      <c r="H210" s="19" t="e">
        <f t="shared" si="22"/>
        <v>#DIV/0!</v>
      </c>
      <c r="I210" s="19" t="e">
        <f t="shared" si="23"/>
        <v>#DIV/0!</v>
      </c>
      <c r="J210" s="19" t="e">
        <f t="shared" si="24"/>
        <v>#DIV/0!</v>
      </c>
    </row>
    <row r="211" spans="4:10" x14ac:dyDescent="0.2">
      <c r="D211" s="19">
        <v>132</v>
      </c>
      <c r="F211" s="37" t="e">
        <f t="shared" si="25"/>
        <v>#DIV/0!</v>
      </c>
      <c r="G211" s="19" t="e">
        <f t="shared" si="21"/>
        <v>#DIV/0!</v>
      </c>
      <c r="H211" s="19" t="e">
        <f t="shared" si="22"/>
        <v>#DIV/0!</v>
      </c>
      <c r="I211" s="19" t="e">
        <f t="shared" si="23"/>
        <v>#DIV/0!</v>
      </c>
      <c r="J211" s="19" t="e">
        <f t="shared" si="24"/>
        <v>#DIV/0!</v>
      </c>
    </row>
    <row r="212" spans="4:10" x14ac:dyDescent="0.2">
      <c r="D212" s="19">
        <v>133</v>
      </c>
      <c r="F212" s="37" t="e">
        <f t="shared" si="25"/>
        <v>#DIV/0!</v>
      </c>
      <c r="G212" s="19" t="e">
        <f t="shared" si="21"/>
        <v>#DIV/0!</v>
      </c>
      <c r="H212" s="19" t="e">
        <f t="shared" si="22"/>
        <v>#DIV/0!</v>
      </c>
      <c r="I212" s="19" t="e">
        <f t="shared" si="23"/>
        <v>#DIV/0!</v>
      </c>
      <c r="J212" s="19" t="e">
        <f t="shared" si="24"/>
        <v>#DIV/0!</v>
      </c>
    </row>
    <row r="213" spans="4:10" x14ac:dyDescent="0.2">
      <c r="D213" s="19">
        <v>134</v>
      </c>
      <c r="F213" s="37" t="e">
        <f t="shared" si="25"/>
        <v>#DIV/0!</v>
      </c>
      <c r="G213" s="19" t="e">
        <f t="shared" si="21"/>
        <v>#DIV/0!</v>
      </c>
      <c r="H213" s="19" t="e">
        <f t="shared" si="22"/>
        <v>#DIV/0!</v>
      </c>
      <c r="I213" s="19" t="e">
        <f t="shared" si="23"/>
        <v>#DIV/0!</v>
      </c>
      <c r="J213" s="19" t="e">
        <f t="shared" si="24"/>
        <v>#DIV/0!</v>
      </c>
    </row>
    <row r="214" spans="4:10" x14ac:dyDescent="0.2">
      <c r="D214" s="19">
        <v>135</v>
      </c>
      <c r="F214" s="37" t="e">
        <f t="shared" si="25"/>
        <v>#DIV/0!</v>
      </c>
      <c r="G214" s="19" t="e">
        <f t="shared" si="21"/>
        <v>#DIV/0!</v>
      </c>
      <c r="H214" s="19" t="e">
        <f t="shared" si="22"/>
        <v>#DIV/0!</v>
      </c>
      <c r="I214" s="19" t="e">
        <f t="shared" si="23"/>
        <v>#DIV/0!</v>
      </c>
      <c r="J214" s="19" t="e">
        <f t="shared" si="24"/>
        <v>#DIV/0!</v>
      </c>
    </row>
    <row r="215" spans="4:10" x14ac:dyDescent="0.2">
      <c r="D215" s="19">
        <v>136</v>
      </c>
      <c r="F215" s="37" t="e">
        <f t="shared" si="25"/>
        <v>#DIV/0!</v>
      </c>
      <c r="G215" s="19" t="e">
        <f t="shared" si="21"/>
        <v>#DIV/0!</v>
      </c>
      <c r="H215" s="19" t="e">
        <f t="shared" si="22"/>
        <v>#DIV/0!</v>
      </c>
      <c r="I215" s="19" t="e">
        <f t="shared" si="23"/>
        <v>#DIV/0!</v>
      </c>
      <c r="J215" s="19" t="e">
        <f t="shared" si="24"/>
        <v>#DIV/0!</v>
      </c>
    </row>
    <row r="216" spans="4:10" x14ac:dyDescent="0.2">
      <c r="D216" s="19">
        <v>137</v>
      </c>
      <c r="F216" s="37" t="e">
        <f t="shared" si="25"/>
        <v>#DIV/0!</v>
      </c>
      <c r="G216" s="19" t="e">
        <f t="shared" si="21"/>
        <v>#DIV/0!</v>
      </c>
      <c r="H216" s="19" t="e">
        <f t="shared" si="22"/>
        <v>#DIV/0!</v>
      </c>
      <c r="I216" s="19" t="e">
        <f t="shared" si="23"/>
        <v>#DIV/0!</v>
      </c>
      <c r="J216" s="19" t="e">
        <f t="shared" si="24"/>
        <v>#DIV/0!</v>
      </c>
    </row>
    <row r="217" spans="4:10" x14ac:dyDescent="0.2">
      <c r="D217" s="19">
        <v>138</v>
      </c>
      <c r="F217" s="37" t="e">
        <f t="shared" si="25"/>
        <v>#DIV/0!</v>
      </c>
      <c r="G217" s="19" t="e">
        <f t="shared" si="21"/>
        <v>#DIV/0!</v>
      </c>
      <c r="H217" s="19" t="e">
        <f t="shared" si="22"/>
        <v>#DIV/0!</v>
      </c>
      <c r="I217" s="19" t="e">
        <f t="shared" si="23"/>
        <v>#DIV/0!</v>
      </c>
      <c r="J217" s="19" t="e">
        <f t="shared" si="24"/>
        <v>#DIV/0!</v>
      </c>
    </row>
    <row r="218" spans="4:10" x14ac:dyDescent="0.2">
      <c r="D218" s="19">
        <v>139</v>
      </c>
      <c r="F218" s="37" t="e">
        <f t="shared" si="25"/>
        <v>#DIV/0!</v>
      </c>
      <c r="G218" s="19" t="e">
        <f t="shared" si="21"/>
        <v>#DIV/0!</v>
      </c>
      <c r="H218" s="19" t="e">
        <f t="shared" si="22"/>
        <v>#DIV/0!</v>
      </c>
      <c r="I218" s="19" t="e">
        <f t="shared" si="23"/>
        <v>#DIV/0!</v>
      </c>
      <c r="J218" s="19" t="e">
        <f t="shared" si="24"/>
        <v>#DIV/0!</v>
      </c>
    </row>
    <row r="219" spans="4:10" x14ac:dyDescent="0.2">
      <c r="D219" s="19">
        <v>140</v>
      </c>
      <c r="F219" s="37" t="e">
        <f t="shared" si="25"/>
        <v>#DIV/0!</v>
      </c>
      <c r="G219" s="19" t="e">
        <f t="shared" si="21"/>
        <v>#DIV/0!</v>
      </c>
      <c r="H219" s="19" t="e">
        <f t="shared" si="22"/>
        <v>#DIV/0!</v>
      </c>
      <c r="I219" s="19" t="e">
        <f t="shared" si="23"/>
        <v>#DIV/0!</v>
      </c>
      <c r="J219" s="19" t="e">
        <f t="shared" si="24"/>
        <v>#DIV/0!</v>
      </c>
    </row>
    <row r="220" spans="4:10" x14ac:dyDescent="0.2">
      <c r="D220" s="19">
        <v>141</v>
      </c>
      <c r="F220" s="37" t="e">
        <f t="shared" si="25"/>
        <v>#DIV/0!</v>
      </c>
      <c r="G220" s="19" t="e">
        <f t="shared" si="21"/>
        <v>#DIV/0!</v>
      </c>
      <c r="H220" s="19" t="e">
        <f t="shared" si="22"/>
        <v>#DIV/0!</v>
      </c>
      <c r="I220" s="19" t="e">
        <f t="shared" si="23"/>
        <v>#DIV/0!</v>
      </c>
      <c r="J220" s="19" t="e">
        <f t="shared" si="24"/>
        <v>#DIV/0!</v>
      </c>
    </row>
    <row r="221" spans="4:10" x14ac:dyDescent="0.2">
      <c r="D221" s="19">
        <v>142</v>
      </c>
      <c r="F221" s="37" t="e">
        <f t="shared" si="25"/>
        <v>#DIV/0!</v>
      </c>
      <c r="G221" s="19" t="e">
        <f t="shared" si="21"/>
        <v>#DIV/0!</v>
      </c>
      <c r="H221" s="19" t="e">
        <f t="shared" si="22"/>
        <v>#DIV/0!</v>
      </c>
      <c r="I221" s="19" t="e">
        <f t="shared" si="23"/>
        <v>#DIV/0!</v>
      </c>
      <c r="J221" s="19" t="e">
        <f t="shared" si="24"/>
        <v>#DIV/0!</v>
      </c>
    </row>
    <row r="222" spans="4:10" x14ac:dyDescent="0.2">
      <c r="D222" s="19">
        <v>143</v>
      </c>
      <c r="F222" s="37" t="e">
        <f t="shared" si="25"/>
        <v>#DIV/0!</v>
      </c>
      <c r="G222" s="19" t="e">
        <f t="shared" si="21"/>
        <v>#DIV/0!</v>
      </c>
      <c r="H222" s="19" t="e">
        <f t="shared" si="22"/>
        <v>#DIV/0!</v>
      </c>
      <c r="I222" s="19" t="e">
        <f t="shared" si="23"/>
        <v>#DIV/0!</v>
      </c>
      <c r="J222" s="19" t="e">
        <f t="shared" si="24"/>
        <v>#DIV/0!</v>
      </c>
    </row>
    <row r="223" spans="4:10" x14ac:dyDescent="0.2">
      <c r="D223" s="19">
        <v>144</v>
      </c>
      <c r="F223" s="37" t="e">
        <f t="shared" si="25"/>
        <v>#DIV/0!</v>
      </c>
      <c r="G223" s="19" t="e">
        <f t="shared" si="21"/>
        <v>#DIV/0!</v>
      </c>
      <c r="H223" s="19" t="e">
        <f t="shared" si="22"/>
        <v>#DIV/0!</v>
      </c>
      <c r="I223" s="19" t="e">
        <f t="shared" si="23"/>
        <v>#DIV/0!</v>
      </c>
      <c r="J223" s="19" t="e">
        <f t="shared" si="24"/>
        <v>#DIV/0!</v>
      </c>
    </row>
    <row r="224" spans="4:10" x14ac:dyDescent="0.2">
      <c r="D224" s="19">
        <v>145</v>
      </c>
      <c r="F224" s="37" t="e">
        <f t="shared" si="25"/>
        <v>#DIV/0!</v>
      </c>
      <c r="G224" s="19" t="e">
        <f t="shared" si="21"/>
        <v>#DIV/0!</v>
      </c>
      <c r="H224" s="19" t="e">
        <f t="shared" si="22"/>
        <v>#DIV/0!</v>
      </c>
      <c r="I224" s="19" t="e">
        <f t="shared" si="23"/>
        <v>#DIV/0!</v>
      </c>
      <c r="J224" s="19" t="e">
        <f t="shared" si="24"/>
        <v>#DIV/0!</v>
      </c>
    </row>
    <row r="225" spans="4:10" x14ac:dyDescent="0.2">
      <c r="D225" s="19">
        <v>146</v>
      </c>
      <c r="F225" s="37" t="e">
        <f t="shared" si="25"/>
        <v>#DIV/0!</v>
      </c>
      <c r="G225" s="19" t="e">
        <f t="shared" si="21"/>
        <v>#DIV/0!</v>
      </c>
      <c r="H225" s="19" t="e">
        <f t="shared" si="22"/>
        <v>#DIV/0!</v>
      </c>
      <c r="I225" s="19" t="e">
        <f t="shared" si="23"/>
        <v>#DIV/0!</v>
      </c>
      <c r="J225" s="19" t="e">
        <f t="shared" si="24"/>
        <v>#DIV/0!</v>
      </c>
    </row>
    <row r="226" spans="4:10" x14ac:dyDescent="0.2">
      <c r="D226" s="19">
        <v>147</v>
      </c>
      <c r="F226" s="37" t="e">
        <f t="shared" si="25"/>
        <v>#DIV/0!</v>
      </c>
      <c r="G226" s="19" t="e">
        <f t="shared" si="21"/>
        <v>#DIV/0!</v>
      </c>
      <c r="H226" s="19" t="e">
        <f t="shared" si="22"/>
        <v>#DIV/0!</v>
      </c>
      <c r="I226" s="19" t="e">
        <f t="shared" si="23"/>
        <v>#DIV/0!</v>
      </c>
      <c r="J226" s="19" t="e">
        <f t="shared" si="24"/>
        <v>#DIV/0!</v>
      </c>
    </row>
    <row r="227" spans="4:10" x14ac:dyDescent="0.2">
      <c r="D227" s="19">
        <v>148</v>
      </c>
      <c r="F227" s="37" t="e">
        <f t="shared" si="25"/>
        <v>#DIV/0!</v>
      </c>
      <c r="G227" s="19" t="e">
        <f t="shared" si="21"/>
        <v>#DIV/0!</v>
      </c>
      <c r="H227" s="19" t="e">
        <f t="shared" si="22"/>
        <v>#DIV/0!</v>
      </c>
      <c r="I227" s="19" t="e">
        <f t="shared" si="23"/>
        <v>#DIV/0!</v>
      </c>
      <c r="J227" s="19" t="e">
        <f t="shared" si="24"/>
        <v>#DIV/0!</v>
      </c>
    </row>
    <row r="228" spans="4:10" x14ac:dyDescent="0.2">
      <c r="D228" s="19">
        <v>149</v>
      </c>
      <c r="F228" s="37" t="e">
        <f t="shared" si="25"/>
        <v>#DIV/0!</v>
      </c>
      <c r="G228" s="19" t="e">
        <f t="shared" si="21"/>
        <v>#DIV/0!</v>
      </c>
      <c r="H228" s="19" t="e">
        <f t="shared" si="22"/>
        <v>#DIV/0!</v>
      </c>
      <c r="I228" s="19" t="e">
        <f t="shared" si="23"/>
        <v>#DIV/0!</v>
      </c>
      <c r="J228" s="19" t="e">
        <f t="shared" si="24"/>
        <v>#DIV/0!</v>
      </c>
    </row>
    <row r="229" spans="4:10" x14ac:dyDescent="0.2">
      <c r="D229" s="19">
        <v>150</v>
      </c>
      <c r="F229" s="37" t="e">
        <f t="shared" si="25"/>
        <v>#DIV/0!</v>
      </c>
      <c r="G229" s="19" t="e">
        <f t="shared" si="21"/>
        <v>#DIV/0!</v>
      </c>
      <c r="H229" s="19" t="e">
        <f t="shared" si="22"/>
        <v>#DIV/0!</v>
      </c>
      <c r="I229" s="19" t="e">
        <f t="shared" si="23"/>
        <v>#DIV/0!</v>
      </c>
      <c r="J229" s="19" t="e">
        <f t="shared" si="24"/>
        <v>#DIV/0!</v>
      </c>
    </row>
    <row r="230" spans="4:10" x14ac:dyDescent="0.2">
      <c r="D230" s="19">
        <v>151</v>
      </c>
      <c r="F230" s="37" t="e">
        <f t="shared" si="25"/>
        <v>#DIV/0!</v>
      </c>
      <c r="G230" s="19" t="e">
        <f t="shared" si="21"/>
        <v>#DIV/0!</v>
      </c>
      <c r="H230" s="19" t="e">
        <f t="shared" si="22"/>
        <v>#DIV/0!</v>
      </c>
      <c r="I230" s="19" t="e">
        <f t="shared" si="23"/>
        <v>#DIV/0!</v>
      </c>
      <c r="J230" s="19" t="e">
        <f t="shared" si="24"/>
        <v>#DIV/0!</v>
      </c>
    </row>
    <row r="231" spans="4:10" x14ac:dyDescent="0.2">
      <c r="D231" s="19">
        <v>152</v>
      </c>
      <c r="F231" s="37" t="e">
        <f t="shared" si="25"/>
        <v>#DIV/0!</v>
      </c>
      <c r="G231" s="19" t="e">
        <f t="shared" si="21"/>
        <v>#DIV/0!</v>
      </c>
      <c r="H231" s="19" t="e">
        <f t="shared" si="22"/>
        <v>#DIV/0!</v>
      </c>
      <c r="I231" s="19" t="e">
        <f t="shared" si="23"/>
        <v>#DIV/0!</v>
      </c>
      <c r="J231" s="19" t="e">
        <f t="shared" si="24"/>
        <v>#DIV/0!</v>
      </c>
    </row>
    <row r="232" spans="4:10" x14ac:dyDescent="0.2">
      <c r="D232" s="19">
        <v>153</v>
      </c>
      <c r="F232" s="37" t="e">
        <f t="shared" si="25"/>
        <v>#DIV/0!</v>
      </c>
      <c r="G232" s="19" t="e">
        <f t="shared" si="21"/>
        <v>#DIV/0!</v>
      </c>
      <c r="H232" s="19" t="e">
        <f t="shared" si="22"/>
        <v>#DIV/0!</v>
      </c>
      <c r="I232" s="19" t="e">
        <f t="shared" si="23"/>
        <v>#DIV/0!</v>
      </c>
      <c r="J232" s="19" t="e">
        <f t="shared" si="24"/>
        <v>#DIV/0!</v>
      </c>
    </row>
    <row r="233" spans="4:10" x14ac:dyDescent="0.2">
      <c r="D233" s="19">
        <v>154</v>
      </c>
      <c r="F233" s="37" t="e">
        <f t="shared" si="25"/>
        <v>#DIV/0!</v>
      </c>
      <c r="G233" s="19" t="e">
        <f t="shared" si="21"/>
        <v>#DIV/0!</v>
      </c>
      <c r="H233" s="19" t="e">
        <f t="shared" si="22"/>
        <v>#DIV/0!</v>
      </c>
      <c r="I233" s="19" t="e">
        <f t="shared" si="23"/>
        <v>#DIV/0!</v>
      </c>
      <c r="J233" s="19" t="e">
        <f t="shared" si="24"/>
        <v>#DIV/0!</v>
      </c>
    </row>
    <row r="234" spans="4:10" x14ac:dyDescent="0.2">
      <c r="D234" s="19">
        <v>155</v>
      </c>
      <c r="F234" s="37" t="e">
        <f t="shared" si="25"/>
        <v>#DIV/0!</v>
      </c>
      <c r="G234" s="19" t="e">
        <f t="shared" si="21"/>
        <v>#DIV/0!</v>
      </c>
      <c r="H234" s="19" t="e">
        <f t="shared" si="22"/>
        <v>#DIV/0!</v>
      </c>
      <c r="I234" s="19" t="e">
        <f t="shared" si="23"/>
        <v>#DIV/0!</v>
      </c>
      <c r="J234" s="19" t="e">
        <f t="shared" si="24"/>
        <v>#DIV/0!</v>
      </c>
    </row>
    <row r="235" spans="4:10" x14ac:dyDescent="0.2">
      <c r="D235" s="19">
        <v>156</v>
      </c>
      <c r="F235" s="37" t="e">
        <f t="shared" si="25"/>
        <v>#DIV/0!</v>
      </c>
      <c r="G235" s="19" t="e">
        <f t="shared" si="21"/>
        <v>#DIV/0!</v>
      </c>
      <c r="H235" s="19" t="e">
        <f t="shared" si="22"/>
        <v>#DIV/0!</v>
      </c>
      <c r="I235" s="19" t="e">
        <f t="shared" si="23"/>
        <v>#DIV/0!</v>
      </c>
      <c r="J235" s="19" t="e">
        <f t="shared" si="24"/>
        <v>#DIV/0!</v>
      </c>
    </row>
    <row r="236" spans="4:10" x14ac:dyDescent="0.2">
      <c r="D236" s="19">
        <v>157</v>
      </c>
      <c r="F236" s="37" t="e">
        <f t="shared" si="25"/>
        <v>#DIV/0!</v>
      </c>
      <c r="G236" s="19" t="e">
        <f t="shared" si="21"/>
        <v>#DIV/0!</v>
      </c>
      <c r="H236" s="19" t="e">
        <f t="shared" si="22"/>
        <v>#DIV/0!</v>
      </c>
      <c r="I236" s="19" t="e">
        <f t="shared" si="23"/>
        <v>#DIV/0!</v>
      </c>
      <c r="J236" s="19" t="e">
        <f t="shared" si="24"/>
        <v>#DIV/0!</v>
      </c>
    </row>
    <row r="237" spans="4:10" x14ac:dyDescent="0.2">
      <c r="D237" s="19">
        <v>158</v>
      </c>
      <c r="F237" s="37" t="e">
        <f t="shared" si="25"/>
        <v>#DIV/0!</v>
      </c>
      <c r="G237" s="19" t="e">
        <f t="shared" si="21"/>
        <v>#DIV/0!</v>
      </c>
      <c r="H237" s="19" t="e">
        <f t="shared" si="22"/>
        <v>#DIV/0!</v>
      </c>
      <c r="I237" s="19" t="e">
        <f t="shared" si="23"/>
        <v>#DIV/0!</v>
      </c>
      <c r="J237" s="19" t="e">
        <f t="shared" si="24"/>
        <v>#DIV/0!</v>
      </c>
    </row>
    <row r="238" spans="4:10" x14ac:dyDescent="0.2">
      <c r="D238" s="19">
        <v>159</v>
      </c>
      <c r="F238" s="37" t="e">
        <f t="shared" si="25"/>
        <v>#DIV/0!</v>
      </c>
      <c r="G238" s="19" t="e">
        <f t="shared" si="21"/>
        <v>#DIV/0!</v>
      </c>
      <c r="H238" s="19" t="e">
        <f t="shared" si="22"/>
        <v>#DIV/0!</v>
      </c>
      <c r="I238" s="19" t="e">
        <f t="shared" si="23"/>
        <v>#DIV/0!</v>
      </c>
      <c r="J238" s="19" t="e">
        <f t="shared" si="24"/>
        <v>#DIV/0!</v>
      </c>
    </row>
    <row r="239" spans="4:10" x14ac:dyDescent="0.2">
      <c r="D239" s="19">
        <v>160</v>
      </c>
      <c r="F239" s="37" t="e">
        <f t="shared" si="25"/>
        <v>#DIV/0!</v>
      </c>
      <c r="G239" s="19" t="e">
        <f t="shared" si="21"/>
        <v>#DIV/0!</v>
      </c>
      <c r="H239" s="19" t="e">
        <f t="shared" si="22"/>
        <v>#DIV/0!</v>
      </c>
      <c r="I239" s="19" t="e">
        <f t="shared" si="23"/>
        <v>#DIV/0!</v>
      </c>
      <c r="J239" s="19" t="e">
        <f t="shared" si="24"/>
        <v>#DIV/0!</v>
      </c>
    </row>
    <row r="240" spans="4:10" x14ac:dyDescent="0.2">
      <c r="D240" s="19">
        <v>161</v>
      </c>
      <c r="F240" s="37" t="e">
        <f t="shared" si="25"/>
        <v>#DIV/0!</v>
      </c>
      <c r="G240" s="19" t="e">
        <f t="shared" si="21"/>
        <v>#DIV/0!</v>
      </c>
      <c r="H240" s="19" t="e">
        <f t="shared" si="22"/>
        <v>#DIV/0!</v>
      </c>
      <c r="I240" s="19" t="e">
        <f t="shared" si="23"/>
        <v>#DIV/0!</v>
      </c>
      <c r="J240" s="19" t="e">
        <f t="shared" si="24"/>
        <v>#DIV/0!</v>
      </c>
    </row>
    <row r="241" spans="4:10" x14ac:dyDescent="0.2">
      <c r="D241" s="19">
        <v>162</v>
      </c>
      <c r="F241" s="37" t="e">
        <f t="shared" si="25"/>
        <v>#DIV/0!</v>
      </c>
      <c r="G241" s="19" t="e">
        <f t="shared" si="21"/>
        <v>#DIV/0!</v>
      </c>
      <c r="H241" s="19" t="e">
        <f t="shared" si="22"/>
        <v>#DIV/0!</v>
      </c>
      <c r="I241" s="19" t="e">
        <f t="shared" si="23"/>
        <v>#DIV/0!</v>
      </c>
      <c r="J241" s="19" t="e">
        <f t="shared" si="24"/>
        <v>#DIV/0!</v>
      </c>
    </row>
    <row r="242" spans="4:10" x14ac:dyDescent="0.2">
      <c r="D242" s="19">
        <v>163</v>
      </c>
      <c r="F242" s="37" t="e">
        <f t="shared" si="25"/>
        <v>#DIV/0!</v>
      </c>
      <c r="G242" s="19" t="e">
        <f t="shared" si="21"/>
        <v>#DIV/0!</v>
      </c>
      <c r="H242" s="19" t="e">
        <f t="shared" si="22"/>
        <v>#DIV/0!</v>
      </c>
      <c r="I242" s="19" t="e">
        <f t="shared" si="23"/>
        <v>#DIV/0!</v>
      </c>
      <c r="J242" s="19" t="e">
        <f t="shared" si="24"/>
        <v>#DIV/0!</v>
      </c>
    </row>
    <row r="243" spans="4:10" x14ac:dyDescent="0.2">
      <c r="D243" s="19">
        <v>164</v>
      </c>
      <c r="F243" s="37" t="e">
        <f t="shared" si="25"/>
        <v>#DIV/0!</v>
      </c>
      <c r="G243" s="19" t="e">
        <f t="shared" si="21"/>
        <v>#DIV/0!</v>
      </c>
      <c r="H243" s="19" t="e">
        <f t="shared" si="22"/>
        <v>#DIV/0!</v>
      </c>
      <c r="I243" s="19" t="e">
        <f t="shared" si="23"/>
        <v>#DIV/0!</v>
      </c>
      <c r="J243" s="19" t="e">
        <f t="shared" si="24"/>
        <v>#DIV/0!</v>
      </c>
    </row>
    <row r="244" spans="4:10" x14ac:dyDescent="0.2">
      <c r="D244" s="19">
        <v>165</v>
      </c>
      <c r="F244" s="37" t="e">
        <f t="shared" si="25"/>
        <v>#DIV/0!</v>
      </c>
      <c r="G244" s="19" t="e">
        <f t="shared" si="21"/>
        <v>#DIV/0!</v>
      </c>
      <c r="H244" s="19" t="e">
        <f t="shared" si="22"/>
        <v>#DIV/0!</v>
      </c>
      <c r="I244" s="19" t="e">
        <f t="shared" si="23"/>
        <v>#DIV/0!</v>
      </c>
      <c r="J244" s="19" t="e">
        <f t="shared" si="24"/>
        <v>#DIV/0!</v>
      </c>
    </row>
    <row r="245" spans="4:10" x14ac:dyDescent="0.2">
      <c r="D245" s="19">
        <v>166</v>
      </c>
      <c r="F245" s="37" t="e">
        <f t="shared" si="25"/>
        <v>#DIV/0!</v>
      </c>
      <c r="G245" s="19" t="e">
        <f t="shared" si="21"/>
        <v>#DIV/0!</v>
      </c>
      <c r="H245" s="19" t="e">
        <f t="shared" si="22"/>
        <v>#DIV/0!</v>
      </c>
      <c r="I245" s="19" t="e">
        <f t="shared" si="23"/>
        <v>#DIV/0!</v>
      </c>
      <c r="J245" s="19" t="e">
        <f t="shared" si="24"/>
        <v>#DIV/0!</v>
      </c>
    </row>
    <row r="246" spans="4:10" x14ac:dyDescent="0.2">
      <c r="D246" s="19">
        <v>167</v>
      </c>
      <c r="F246" s="37" t="e">
        <f t="shared" si="25"/>
        <v>#DIV/0!</v>
      </c>
      <c r="G246" s="19" t="e">
        <f t="shared" si="21"/>
        <v>#DIV/0!</v>
      </c>
      <c r="H246" s="19" t="e">
        <f t="shared" si="22"/>
        <v>#DIV/0!</v>
      </c>
      <c r="I246" s="19" t="e">
        <f t="shared" si="23"/>
        <v>#DIV/0!</v>
      </c>
      <c r="J246" s="19" t="e">
        <f t="shared" si="24"/>
        <v>#DIV/0!</v>
      </c>
    </row>
    <row r="247" spans="4:10" x14ac:dyDescent="0.2">
      <c r="D247" s="19">
        <v>168</v>
      </c>
      <c r="F247" s="37" t="e">
        <f t="shared" si="25"/>
        <v>#DIV/0!</v>
      </c>
      <c r="G247" s="19" t="e">
        <f t="shared" si="21"/>
        <v>#DIV/0!</v>
      </c>
      <c r="H247" s="19" t="e">
        <f t="shared" si="22"/>
        <v>#DIV/0!</v>
      </c>
      <c r="I247" s="19" t="e">
        <f t="shared" si="23"/>
        <v>#DIV/0!</v>
      </c>
      <c r="J247" s="19" t="e">
        <f t="shared" si="24"/>
        <v>#DIV/0!</v>
      </c>
    </row>
    <row r="248" spans="4:10" x14ac:dyDescent="0.2">
      <c r="D248" s="19">
        <v>169</v>
      </c>
      <c r="F248" s="37" t="e">
        <f t="shared" si="25"/>
        <v>#DIV/0!</v>
      </c>
      <c r="G248" s="19" t="e">
        <f t="shared" si="21"/>
        <v>#DIV/0!</v>
      </c>
      <c r="H248" s="19" t="e">
        <f t="shared" si="22"/>
        <v>#DIV/0!</v>
      </c>
      <c r="I248" s="19" t="e">
        <f t="shared" si="23"/>
        <v>#DIV/0!</v>
      </c>
      <c r="J248" s="19" t="e">
        <f t="shared" si="24"/>
        <v>#DIV/0!</v>
      </c>
    </row>
    <row r="249" spans="4:10" x14ac:dyDescent="0.2">
      <c r="D249" s="19">
        <v>170</v>
      </c>
      <c r="F249" s="37" t="e">
        <f t="shared" si="25"/>
        <v>#DIV/0!</v>
      </c>
      <c r="G249" s="19" t="e">
        <f t="shared" si="21"/>
        <v>#DIV/0!</v>
      </c>
      <c r="H249" s="19" t="e">
        <f t="shared" si="22"/>
        <v>#DIV/0!</v>
      </c>
      <c r="I249" s="19" t="e">
        <f t="shared" si="23"/>
        <v>#DIV/0!</v>
      </c>
      <c r="J249" s="19" t="e">
        <f t="shared" si="24"/>
        <v>#DIV/0!</v>
      </c>
    </row>
    <row r="250" spans="4:10" x14ac:dyDescent="0.2">
      <c r="D250" s="19">
        <v>171</v>
      </c>
      <c r="F250" s="37" t="e">
        <f t="shared" si="25"/>
        <v>#DIV/0!</v>
      </c>
      <c r="G250" s="19" t="e">
        <f t="shared" si="21"/>
        <v>#DIV/0!</v>
      </c>
      <c r="H250" s="19" t="e">
        <f t="shared" si="22"/>
        <v>#DIV/0!</v>
      </c>
      <c r="I250" s="19" t="e">
        <f t="shared" si="23"/>
        <v>#DIV/0!</v>
      </c>
      <c r="J250" s="19" t="e">
        <f t="shared" si="24"/>
        <v>#DIV/0!</v>
      </c>
    </row>
    <row r="251" spans="4:10" x14ac:dyDescent="0.2">
      <c r="D251" s="19">
        <v>172</v>
      </c>
      <c r="F251" s="37" t="e">
        <f t="shared" si="25"/>
        <v>#DIV/0!</v>
      </c>
      <c r="G251" s="19" t="e">
        <f t="shared" si="21"/>
        <v>#DIV/0!</v>
      </c>
      <c r="H251" s="19" t="e">
        <f t="shared" si="22"/>
        <v>#DIV/0!</v>
      </c>
      <c r="I251" s="19" t="e">
        <f t="shared" si="23"/>
        <v>#DIV/0!</v>
      </c>
      <c r="J251" s="19" t="e">
        <f t="shared" si="24"/>
        <v>#DIV/0!</v>
      </c>
    </row>
    <row r="252" spans="4:10" x14ac:dyDescent="0.2">
      <c r="D252" s="19">
        <v>173</v>
      </c>
      <c r="F252" s="37" t="e">
        <f t="shared" si="25"/>
        <v>#DIV/0!</v>
      </c>
      <c r="G252" s="19" t="e">
        <f t="shared" si="21"/>
        <v>#DIV/0!</v>
      </c>
      <c r="H252" s="19" t="e">
        <f t="shared" si="22"/>
        <v>#DIV/0!</v>
      </c>
      <c r="I252" s="19" t="e">
        <f t="shared" si="23"/>
        <v>#DIV/0!</v>
      </c>
      <c r="J252" s="19" t="e">
        <f t="shared" si="24"/>
        <v>#DIV/0!</v>
      </c>
    </row>
    <row r="253" spans="4:10" x14ac:dyDescent="0.2">
      <c r="D253" s="19">
        <v>174</v>
      </c>
      <c r="F253" s="37" t="e">
        <f t="shared" si="25"/>
        <v>#DIV/0!</v>
      </c>
      <c r="G253" s="19" t="e">
        <f t="shared" si="21"/>
        <v>#DIV/0!</v>
      </c>
      <c r="H253" s="19" t="e">
        <f t="shared" si="22"/>
        <v>#DIV/0!</v>
      </c>
      <c r="I253" s="19" t="e">
        <f t="shared" si="23"/>
        <v>#DIV/0!</v>
      </c>
      <c r="J253" s="19" t="e">
        <f t="shared" si="24"/>
        <v>#DIV/0!</v>
      </c>
    </row>
    <row r="254" spans="4:10" x14ac:dyDescent="0.2">
      <c r="D254" s="19">
        <v>175</v>
      </c>
      <c r="F254" s="37" t="e">
        <f t="shared" si="25"/>
        <v>#DIV/0!</v>
      </c>
      <c r="G254" s="19" t="e">
        <f t="shared" si="21"/>
        <v>#DIV/0!</v>
      </c>
      <c r="H254" s="19" t="e">
        <f t="shared" si="22"/>
        <v>#DIV/0!</v>
      </c>
      <c r="I254" s="19" t="e">
        <f t="shared" si="23"/>
        <v>#DIV/0!</v>
      </c>
      <c r="J254" s="19" t="e">
        <f t="shared" si="24"/>
        <v>#DIV/0!</v>
      </c>
    </row>
    <row r="255" spans="4:10" x14ac:dyDescent="0.2">
      <c r="D255" s="19">
        <v>176</v>
      </c>
      <c r="F255" s="37" t="e">
        <f t="shared" si="25"/>
        <v>#DIV/0!</v>
      </c>
      <c r="G255" s="19" t="e">
        <f t="shared" si="21"/>
        <v>#DIV/0!</v>
      </c>
      <c r="H255" s="19" t="e">
        <f t="shared" si="22"/>
        <v>#DIV/0!</v>
      </c>
      <c r="I255" s="19" t="e">
        <f t="shared" si="23"/>
        <v>#DIV/0!</v>
      </c>
      <c r="J255" s="19" t="e">
        <f t="shared" si="24"/>
        <v>#DIV/0!</v>
      </c>
    </row>
    <row r="256" spans="4:10" x14ac:dyDescent="0.2">
      <c r="D256" s="19">
        <v>177</v>
      </c>
      <c r="F256" s="37" t="e">
        <f t="shared" si="25"/>
        <v>#DIV/0!</v>
      </c>
      <c r="G256" s="19" t="e">
        <f t="shared" si="21"/>
        <v>#DIV/0!</v>
      </c>
      <c r="H256" s="19" t="e">
        <f t="shared" si="22"/>
        <v>#DIV/0!</v>
      </c>
      <c r="I256" s="19" t="e">
        <f t="shared" si="23"/>
        <v>#DIV/0!</v>
      </c>
      <c r="J256" s="19" t="e">
        <f t="shared" si="24"/>
        <v>#DIV/0!</v>
      </c>
    </row>
    <row r="257" spans="4:10" x14ac:dyDescent="0.2">
      <c r="D257" s="19">
        <v>178</v>
      </c>
      <c r="F257" s="37" t="e">
        <f t="shared" si="25"/>
        <v>#DIV/0!</v>
      </c>
      <c r="G257" s="19" t="e">
        <f t="shared" si="21"/>
        <v>#DIV/0!</v>
      </c>
      <c r="H257" s="19" t="e">
        <f t="shared" si="22"/>
        <v>#DIV/0!</v>
      </c>
      <c r="I257" s="19" t="e">
        <f t="shared" si="23"/>
        <v>#DIV/0!</v>
      </c>
      <c r="J257" s="19" t="e">
        <f t="shared" si="24"/>
        <v>#DIV/0!</v>
      </c>
    </row>
    <row r="258" spans="4:10" x14ac:dyDescent="0.2">
      <c r="D258" s="19">
        <v>179</v>
      </c>
      <c r="F258" s="37" t="e">
        <f t="shared" si="25"/>
        <v>#DIV/0!</v>
      </c>
      <c r="G258" s="19" t="e">
        <f t="shared" si="21"/>
        <v>#DIV/0!</v>
      </c>
      <c r="H258" s="19" t="e">
        <f t="shared" si="22"/>
        <v>#DIV/0!</v>
      </c>
      <c r="I258" s="19" t="e">
        <f t="shared" si="23"/>
        <v>#DIV/0!</v>
      </c>
      <c r="J258" s="19" t="e">
        <f t="shared" si="24"/>
        <v>#DIV/0!</v>
      </c>
    </row>
    <row r="259" spans="4:10" x14ac:dyDescent="0.2">
      <c r="D259" s="19">
        <v>180</v>
      </c>
      <c r="F259" s="37" t="e">
        <f t="shared" si="25"/>
        <v>#DIV/0!</v>
      </c>
      <c r="G259" s="19" t="e">
        <f t="shared" si="21"/>
        <v>#DIV/0!</v>
      </c>
      <c r="H259" s="19" t="e">
        <f t="shared" si="22"/>
        <v>#DIV/0!</v>
      </c>
      <c r="I259" s="19" t="e">
        <f t="shared" si="23"/>
        <v>#DIV/0!</v>
      </c>
      <c r="J259" s="19" t="e">
        <f t="shared" si="24"/>
        <v>#DIV/0!</v>
      </c>
    </row>
    <row r="260" spans="4:10" x14ac:dyDescent="0.2">
      <c r="D260" s="19">
        <v>181</v>
      </c>
      <c r="F260" s="37" t="e">
        <f t="shared" si="25"/>
        <v>#DIV/0!</v>
      </c>
      <c r="G260" s="19" t="e">
        <f t="shared" si="21"/>
        <v>#DIV/0!</v>
      </c>
      <c r="H260" s="19" t="e">
        <f t="shared" si="22"/>
        <v>#DIV/0!</v>
      </c>
      <c r="I260" s="19" t="e">
        <f t="shared" si="23"/>
        <v>#DIV/0!</v>
      </c>
      <c r="J260" s="19" t="e">
        <f t="shared" si="24"/>
        <v>#DIV/0!</v>
      </c>
    </row>
    <row r="261" spans="4:10" x14ac:dyDescent="0.2">
      <c r="D261" s="19">
        <v>182</v>
      </c>
      <c r="F261" s="37" t="e">
        <f t="shared" si="25"/>
        <v>#DIV/0!</v>
      </c>
      <c r="G261" s="19" t="e">
        <f t="shared" si="21"/>
        <v>#DIV/0!</v>
      </c>
      <c r="H261" s="19" t="e">
        <f t="shared" si="22"/>
        <v>#DIV/0!</v>
      </c>
      <c r="I261" s="19" t="e">
        <f t="shared" si="23"/>
        <v>#DIV/0!</v>
      </c>
      <c r="J261" s="19" t="e">
        <f t="shared" si="24"/>
        <v>#DIV/0!</v>
      </c>
    </row>
    <row r="262" spans="4:10" x14ac:dyDescent="0.2">
      <c r="D262" s="19">
        <v>183</v>
      </c>
      <c r="F262" s="37" t="e">
        <f t="shared" si="25"/>
        <v>#DIV/0!</v>
      </c>
      <c r="G262" s="19" t="e">
        <f t="shared" si="21"/>
        <v>#DIV/0!</v>
      </c>
      <c r="H262" s="19" t="e">
        <f t="shared" si="22"/>
        <v>#DIV/0!</v>
      </c>
      <c r="I262" s="19" t="e">
        <f t="shared" si="23"/>
        <v>#DIV/0!</v>
      </c>
      <c r="J262" s="19" t="e">
        <f t="shared" si="24"/>
        <v>#DIV/0!</v>
      </c>
    </row>
    <row r="263" spans="4:10" x14ac:dyDescent="0.2">
      <c r="D263" s="19">
        <v>184</v>
      </c>
      <c r="F263" s="37" t="e">
        <f t="shared" si="25"/>
        <v>#DIV/0!</v>
      </c>
      <c r="G263" s="19" t="e">
        <f t="shared" si="21"/>
        <v>#DIV/0!</v>
      </c>
      <c r="H263" s="19" t="e">
        <f t="shared" si="22"/>
        <v>#DIV/0!</v>
      </c>
      <c r="I263" s="19" t="e">
        <f t="shared" si="23"/>
        <v>#DIV/0!</v>
      </c>
      <c r="J263" s="19" t="e">
        <f t="shared" si="24"/>
        <v>#DIV/0!</v>
      </c>
    </row>
    <row r="264" spans="4:10" x14ac:dyDescent="0.2">
      <c r="D264" s="19">
        <v>185</v>
      </c>
      <c r="F264" s="37" t="e">
        <f t="shared" si="25"/>
        <v>#DIV/0!</v>
      </c>
      <c r="G264" s="19" t="e">
        <f t="shared" si="21"/>
        <v>#DIV/0!</v>
      </c>
      <c r="H264" s="19" t="e">
        <f t="shared" si="22"/>
        <v>#DIV/0!</v>
      </c>
      <c r="I264" s="19" t="e">
        <f t="shared" si="23"/>
        <v>#DIV/0!</v>
      </c>
      <c r="J264" s="19" t="e">
        <f t="shared" si="24"/>
        <v>#DIV/0!</v>
      </c>
    </row>
    <row r="265" spans="4:10" x14ac:dyDescent="0.2">
      <c r="D265" s="19">
        <v>186</v>
      </c>
      <c r="F265" s="37" t="e">
        <f t="shared" si="25"/>
        <v>#DIV/0!</v>
      </c>
      <c r="G265" s="19" t="e">
        <f t="shared" si="21"/>
        <v>#DIV/0!</v>
      </c>
      <c r="H265" s="19" t="e">
        <f t="shared" si="22"/>
        <v>#DIV/0!</v>
      </c>
      <c r="I265" s="19" t="e">
        <f t="shared" si="23"/>
        <v>#DIV/0!</v>
      </c>
      <c r="J265" s="19" t="e">
        <f t="shared" si="24"/>
        <v>#DIV/0!</v>
      </c>
    </row>
    <row r="266" spans="4:10" x14ac:dyDescent="0.2">
      <c r="D266" s="19">
        <v>187</v>
      </c>
      <c r="F266" s="37" t="e">
        <f t="shared" si="25"/>
        <v>#DIV/0!</v>
      </c>
      <c r="G266" s="19" t="e">
        <f t="shared" si="21"/>
        <v>#DIV/0!</v>
      </c>
      <c r="H266" s="19" t="e">
        <f t="shared" si="22"/>
        <v>#DIV/0!</v>
      </c>
      <c r="I266" s="19" t="e">
        <f t="shared" si="23"/>
        <v>#DIV/0!</v>
      </c>
      <c r="J266" s="19" t="e">
        <f t="shared" si="24"/>
        <v>#DIV/0!</v>
      </c>
    </row>
    <row r="267" spans="4:10" x14ac:dyDescent="0.2">
      <c r="D267" s="19">
        <v>188</v>
      </c>
      <c r="F267" s="37" t="e">
        <f t="shared" si="25"/>
        <v>#DIV/0!</v>
      </c>
      <c r="G267" s="19" t="e">
        <f t="shared" si="21"/>
        <v>#DIV/0!</v>
      </c>
      <c r="H267" s="19" t="e">
        <f t="shared" si="22"/>
        <v>#DIV/0!</v>
      </c>
      <c r="I267" s="19" t="e">
        <f t="shared" si="23"/>
        <v>#DIV/0!</v>
      </c>
      <c r="J267" s="19" t="e">
        <f t="shared" si="24"/>
        <v>#DIV/0!</v>
      </c>
    </row>
    <row r="268" spans="4:10" x14ac:dyDescent="0.2">
      <c r="D268" s="19">
        <v>189</v>
      </c>
      <c r="F268" s="37" t="e">
        <f t="shared" si="25"/>
        <v>#DIV/0!</v>
      </c>
      <c r="G268" s="19" t="e">
        <f t="shared" si="21"/>
        <v>#DIV/0!</v>
      </c>
      <c r="H268" s="19" t="e">
        <f t="shared" si="22"/>
        <v>#DIV/0!</v>
      </c>
      <c r="I268" s="19" t="e">
        <f t="shared" si="23"/>
        <v>#DIV/0!</v>
      </c>
      <c r="J268" s="19" t="e">
        <f t="shared" si="24"/>
        <v>#DIV/0!</v>
      </c>
    </row>
    <row r="269" spans="4:10" x14ac:dyDescent="0.2">
      <c r="D269" s="19">
        <v>190</v>
      </c>
      <c r="F269" s="37" t="e">
        <f t="shared" si="25"/>
        <v>#DIV/0!</v>
      </c>
      <c r="G269" s="19" t="e">
        <f t="shared" si="21"/>
        <v>#DIV/0!</v>
      </c>
      <c r="H269" s="19" t="e">
        <f t="shared" si="22"/>
        <v>#DIV/0!</v>
      </c>
      <c r="I269" s="19" t="e">
        <f t="shared" si="23"/>
        <v>#DIV/0!</v>
      </c>
      <c r="J269" s="19" t="e">
        <f t="shared" si="24"/>
        <v>#DIV/0!</v>
      </c>
    </row>
    <row r="270" spans="4:10" x14ac:dyDescent="0.2">
      <c r="D270" s="19">
        <v>191</v>
      </c>
      <c r="F270" s="37" t="e">
        <f t="shared" si="25"/>
        <v>#DIV/0!</v>
      </c>
      <c r="G270" s="19" t="e">
        <f t="shared" si="21"/>
        <v>#DIV/0!</v>
      </c>
      <c r="H270" s="19" t="e">
        <f t="shared" si="22"/>
        <v>#DIV/0!</v>
      </c>
      <c r="I270" s="19" t="e">
        <f t="shared" si="23"/>
        <v>#DIV/0!</v>
      </c>
      <c r="J270" s="19" t="e">
        <f t="shared" si="24"/>
        <v>#DIV/0!</v>
      </c>
    </row>
    <row r="271" spans="4:10" x14ac:dyDescent="0.2">
      <c r="D271" s="19">
        <v>192</v>
      </c>
      <c r="F271" s="37" t="e">
        <f t="shared" si="25"/>
        <v>#DIV/0!</v>
      </c>
      <c r="G271" s="19" t="e">
        <f t="shared" si="21"/>
        <v>#DIV/0!</v>
      </c>
      <c r="H271" s="19" t="e">
        <f t="shared" si="22"/>
        <v>#DIV/0!</v>
      </c>
      <c r="I271" s="19" t="e">
        <f t="shared" si="23"/>
        <v>#DIV/0!</v>
      </c>
      <c r="J271" s="19" t="e">
        <f t="shared" si="24"/>
        <v>#DIV/0!</v>
      </c>
    </row>
    <row r="272" spans="4:10" x14ac:dyDescent="0.2">
      <c r="D272" s="19">
        <v>193</v>
      </c>
      <c r="F272" s="37" t="e">
        <f t="shared" si="25"/>
        <v>#DIV/0!</v>
      </c>
      <c r="G272" s="19" t="e">
        <f t="shared" ref="G272:G279" si="26">1/($A$80*SQRT(2*3.14))*EXP(-((F272-$AC$6)*(F272-$AC$6))/(($A$80*$A$80)*2))</f>
        <v>#DIV/0!</v>
      </c>
      <c r="H272" s="19" t="e">
        <f t="shared" ref="H272:H279" si="27">1/($AF$7*SQRT(2*3.14))*EXP(-((F272-$AF$6)*(F272-$AF$6))/(($AF$7*$AF$7)*2))</f>
        <v>#DIV/0!</v>
      </c>
      <c r="I272" s="19" t="e">
        <f t="shared" ref="I272:I279" si="28">IF(OR(J272-J271=1,J272-J271=-1),$S$159,0)</f>
        <v>#DIV/0!</v>
      </c>
      <c r="J272" s="19" t="e">
        <f t="shared" ref="J272:J279" si="29">IF(OR(F272&lt;$AF$8,F272&gt;$AF$9),0,1)</f>
        <v>#DIV/0!</v>
      </c>
    </row>
    <row r="273" spans="4:10" x14ac:dyDescent="0.2">
      <c r="D273" s="19">
        <v>194</v>
      </c>
      <c r="F273" s="37" t="e">
        <f t="shared" ref="F273:F279" si="30">F272+$Q$79</f>
        <v>#DIV/0!</v>
      </c>
      <c r="G273" s="19" t="e">
        <f t="shared" si="26"/>
        <v>#DIV/0!</v>
      </c>
      <c r="H273" s="19" t="e">
        <f t="shared" si="27"/>
        <v>#DIV/0!</v>
      </c>
      <c r="I273" s="19" t="e">
        <f t="shared" si="28"/>
        <v>#DIV/0!</v>
      </c>
      <c r="J273" s="19" t="e">
        <f t="shared" si="29"/>
        <v>#DIV/0!</v>
      </c>
    </row>
    <row r="274" spans="4:10" x14ac:dyDescent="0.2">
      <c r="D274" s="19">
        <v>195</v>
      </c>
      <c r="F274" s="37" t="e">
        <f t="shared" si="30"/>
        <v>#DIV/0!</v>
      </c>
      <c r="G274" s="19" t="e">
        <f t="shared" si="26"/>
        <v>#DIV/0!</v>
      </c>
      <c r="H274" s="19" t="e">
        <f t="shared" si="27"/>
        <v>#DIV/0!</v>
      </c>
      <c r="I274" s="19" t="e">
        <f t="shared" si="28"/>
        <v>#DIV/0!</v>
      </c>
      <c r="J274" s="19" t="e">
        <f t="shared" si="29"/>
        <v>#DIV/0!</v>
      </c>
    </row>
    <row r="275" spans="4:10" x14ac:dyDescent="0.2">
      <c r="D275" s="19">
        <v>196</v>
      </c>
      <c r="F275" s="37" t="e">
        <f t="shared" si="30"/>
        <v>#DIV/0!</v>
      </c>
      <c r="G275" s="19" t="e">
        <f t="shared" si="26"/>
        <v>#DIV/0!</v>
      </c>
      <c r="H275" s="19" t="e">
        <f t="shared" si="27"/>
        <v>#DIV/0!</v>
      </c>
      <c r="I275" s="19" t="e">
        <f t="shared" si="28"/>
        <v>#DIV/0!</v>
      </c>
      <c r="J275" s="19" t="e">
        <f t="shared" si="29"/>
        <v>#DIV/0!</v>
      </c>
    </row>
    <row r="276" spans="4:10" x14ac:dyDescent="0.2">
      <c r="D276" s="19">
        <v>197</v>
      </c>
      <c r="F276" s="37" t="e">
        <f t="shared" si="30"/>
        <v>#DIV/0!</v>
      </c>
      <c r="G276" s="19" t="e">
        <f t="shared" si="26"/>
        <v>#DIV/0!</v>
      </c>
      <c r="H276" s="19" t="e">
        <f t="shared" si="27"/>
        <v>#DIV/0!</v>
      </c>
      <c r="I276" s="19" t="e">
        <f t="shared" si="28"/>
        <v>#DIV/0!</v>
      </c>
      <c r="J276" s="19" t="e">
        <f t="shared" si="29"/>
        <v>#DIV/0!</v>
      </c>
    </row>
    <row r="277" spans="4:10" x14ac:dyDescent="0.2">
      <c r="D277" s="19">
        <v>198</v>
      </c>
      <c r="F277" s="37" t="e">
        <f t="shared" si="30"/>
        <v>#DIV/0!</v>
      </c>
      <c r="G277" s="19" t="e">
        <f t="shared" si="26"/>
        <v>#DIV/0!</v>
      </c>
      <c r="H277" s="19" t="e">
        <f t="shared" si="27"/>
        <v>#DIV/0!</v>
      </c>
      <c r="I277" s="19" t="e">
        <f t="shared" si="28"/>
        <v>#DIV/0!</v>
      </c>
      <c r="J277" s="19" t="e">
        <f t="shared" si="29"/>
        <v>#DIV/0!</v>
      </c>
    </row>
    <row r="278" spans="4:10" x14ac:dyDescent="0.2">
      <c r="D278" s="19">
        <v>199</v>
      </c>
      <c r="F278" s="37" t="e">
        <f t="shared" si="30"/>
        <v>#DIV/0!</v>
      </c>
      <c r="G278" s="19" t="e">
        <f t="shared" si="26"/>
        <v>#DIV/0!</v>
      </c>
      <c r="H278" s="19" t="e">
        <f t="shared" si="27"/>
        <v>#DIV/0!</v>
      </c>
      <c r="I278" s="19" t="e">
        <f t="shared" si="28"/>
        <v>#DIV/0!</v>
      </c>
      <c r="J278" s="19" t="e">
        <f t="shared" si="29"/>
        <v>#DIV/0!</v>
      </c>
    </row>
    <row r="279" spans="4:10" x14ac:dyDescent="0.2">
      <c r="D279" s="19">
        <v>200</v>
      </c>
      <c r="F279" s="37" t="e">
        <f t="shared" si="30"/>
        <v>#DIV/0!</v>
      </c>
      <c r="G279" s="19" t="e">
        <f t="shared" si="26"/>
        <v>#DIV/0!</v>
      </c>
      <c r="H279" s="19" t="e">
        <f t="shared" si="27"/>
        <v>#DIV/0!</v>
      </c>
      <c r="I279" s="19" t="e">
        <f t="shared" si="28"/>
        <v>#DIV/0!</v>
      </c>
      <c r="J279" s="19" t="e">
        <f t="shared" si="29"/>
        <v>#DIV/0!</v>
      </c>
    </row>
  </sheetData>
  <sheetProtection algorithmName="SHA-512" hashValue="ai+ElI1nTZNxHgoq+dZZXO9kaqgg8x/w81Xr7kTiytf6frqYlFQ3jkv/jjv6ZjJS518/ODVCQk5z+oVRU9YRAQ==" saltValue="cSPjDEZnzGwcySeVaxvGhg==" spinCount="100000" sheet="1" objects="1" scenarios="1" selectLockedCells="1"/>
  <dataConsolidate/>
  <mergeCells count="36">
    <mergeCell ref="R94:S94"/>
    <mergeCell ref="R95:S95"/>
    <mergeCell ref="R97:S97"/>
    <mergeCell ref="F57:G57"/>
    <mergeCell ref="Q57:R57"/>
    <mergeCell ref="F58:G58"/>
    <mergeCell ref="Q58:R58"/>
    <mergeCell ref="F60:H60"/>
    <mergeCell ref="I60:J60"/>
    <mergeCell ref="R60:S60"/>
    <mergeCell ref="F56:G56"/>
    <mergeCell ref="Q56:R56"/>
    <mergeCell ref="J10:M10"/>
    <mergeCell ref="R10:S10"/>
    <mergeCell ref="J11:M11"/>
    <mergeCell ref="R11:S11"/>
    <mergeCell ref="J12:M12"/>
    <mergeCell ref="R12:S12"/>
    <mergeCell ref="J13:M13"/>
    <mergeCell ref="P13:S13"/>
    <mergeCell ref="F55:G55"/>
    <mergeCell ref="O55:P55"/>
    <mergeCell ref="Q55:R55"/>
    <mergeCell ref="J7:M7"/>
    <mergeCell ref="R7:S7"/>
    <mergeCell ref="J8:M8"/>
    <mergeCell ref="R8:S8"/>
    <mergeCell ref="J9:M9"/>
    <mergeCell ref="R9:S9"/>
    <mergeCell ref="J6:M6"/>
    <mergeCell ref="R6:S6"/>
    <mergeCell ref="J3:S3"/>
    <mergeCell ref="J4:K4"/>
    <mergeCell ref="Q4:S4"/>
    <mergeCell ref="J5:K5"/>
    <mergeCell ref="R5:S5"/>
  </mergeCells>
  <conditionalFormatting sqref="Q4:S4">
    <cfRule type="cellIs" priority="1" stopIfTrue="1" operator="equal">
      <formula>$Y$45</formula>
    </cfRule>
    <cfRule type="cellIs" priority="2" stopIfTrue="1" operator="equal">
      <formula>$Y$46</formula>
    </cfRule>
  </conditionalFormatting>
  <dataValidations xWindow="970" yWindow="500" count="12">
    <dataValidation type="textLength" allowBlank="1" showInputMessage="1" showErrorMessage="1" errorTitle="Textlänge" error="maximal 20 Zeichen" sqref="J6:J13 JF6:JF13 TB6:TB13 ACX6:ACX13 AMT6:AMT13 AWP6:AWP13 BGL6:BGL13 BQH6:BQH13 CAD6:CAD13 CJZ6:CJZ13 CTV6:CTV13 DDR6:DDR13 DNN6:DNN13 DXJ6:DXJ13 EHF6:EHF13 ERB6:ERB13 FAX6:FAX13 FKT6:FKT13 FUP6:FUP13 GEL6:GEL13 GOH6:GOH13 GYD6:GYD13 HHZ6:HHZ13 HRV6:HRV13 IBR6:IBR13 ILN6:ILN13 IVJ6:IVJ13 JFF6:JFF13 JPB6:JPB13 JYX6:JYX13 KIT6:KIT13 KSP6:KSP13 LCL6:LCL13 LMH6:LMH13 LWD6:LWD13 MFZ6:MFZ13 MPV6:MPV13 MZR6:MZR13 NJN6:NJN13 NTJ6:NTJ13 ODF6:ODF13 ONB6:ONB13 OWX6:OWX13 PGT6:PGT13 PQP6:PQP13 QAL6:QAL13 QKH6:QKH13 QUD6:QUD13 RDZ6:RDZ13 RNV6:RNV13 RXR6:RXR13 SHN6:SHN13 SRJ6:SRJ13 TBF6:TBF13 TLB6:TLB13 TUX6:TUX13 UET6:UET13 UOP6:UOP13 UYL6:UYL13 VIH6:VIH13 VSD6:VSD13 WBZ6:WBZ13 WLV6:WLV13 WVR6:WVR13 J65542:J65549 JF65542:JF65549 TB65542:TB65549 ACX65542:ACX65549 AMT65542:AMT65549 AWP65542:AWP65549 BGL65542:BGL65549 BQH65542:BQH65549 CAD65542:CAD65549 CJZ65542:CJZ65549 CTV65542:CTV65549 DDR65542:DDR65549 DNN65542:DNN65549 DXJ65542:DXJ65549 EHF65542:EHF65549 ERB65542:ERB65549 FAX65542:FAX65549 FKT65542:FKT65549 FUP65542:FUP65549 GEL65542:GEL65549 GOH65542:GOH65549 GYD65542:GYD65549 HHZ65542:HHZ65549 HRV65542:HRV65549 IBR65542:IBR65549 ILN65542:ILN65549 IVJ65542:IVJ65549 JFF65542:JFF65549 JPB65542:JPB65549 JYX65542:JYX65549 KIT65542:KIT65549 KSP65542:KSP65549 LCL65542:LCL65549 LMH65542:LMH65549 LWD65542:LWD65549 MFZ65542:MFZ65549 MPV65542:MPV65549 MZR65542:MZR65549 NJN65542:NJN65549 NTJ65542:NTJ65549 ODF65542:ODF65549 ONB65542:ONB65549 OWX65542:OWX65549 PGT65542:PGT65549 PQP65542:PQP65549 QAL65542:QAL65549 QKH65542:QKH65549 QUD65542:QUD65549 RDZ65542:RDZ65549 RNV65542:RNV65549 RXR65542:RXR65549 SHN65542:SHN65549 SRJ65542:SRJ65549 TBF65542:TBF65549 TLB65542:TLB65549 TUX65542:TUX65549 UET65542:UET65549 UOP65542:UOP65549 UYL65542:UYL65549 VIH65542:VIH65549 VSD65542:VSD65549 WBZ65542:WBZ65549 WLV65542:WLV65549 WVR65542:WVR65549 J131078:J131085 JF131078:JF131085 TB131078:TB131085 ACX131078:ACX131085 AMT131078:AMT131085 AWP131078:AWP131085 BGL131078:BGL131085 BQH131078:BQH131085 CAD131078:CAD131085 CJZ131078:CJZ131085 CTV131078:CTV131085 DDR131078:DDR131085 DNN131078:DNN131085 DXJ131078:DXJ131085 EHF131078:EHF131085 ERB131078:ERB131085 FAX131078:FAX131085 FKT131078:FKT131085 FUP131078:FUP131085 GEL131078:GEL131085 GOH131078:GOH131085 GYD131078:GYD131085 HHZ131078:HHZ131085 HRV131078:HRV131085 IBR131078:IBR131085 ILN131078:ILN131085 IVJ131078:IVJ131085 JFF131078:JFF131085 JPB131078:JPB131085 JYX131078:JYX131085 KIT131078:KIT131085 KSP131078:KSP131085 LCL131078:LCL131085 LMH131078:LMH131085 LWD131078:LWD131085 MFZ131078:MFZ131085 MPV131078:MPV131085 MZR131078:MZR131085 NJN131078:NJN131085 NTJ131078:NTJ131085 ODF131078:ODF131085 ONB131078:ONB131085 OWX131078:OWX131085 PGT131078:PGT131085 PQP131078:PQP131085 QAL131078:QAL131085 QKH131078:QKH131085 QUD131078:QUD131085 RDZ131078:RDZ131085 RNV131078:RNV131085 RXR131078:RXR131085 SHN131078:SHN131085 SRJ131078:SRJ131085 TBF131078:TBF131085 TLB131078:TLB131085 TUX131078:TUX131085 UET131078:UET131085 UOP131078:UOP131085 UYL131078:UYL131085 VIH131078:VIH131085 VSD131078:VSD131085 WBZ131078:WBZ131085 WLV131078:WLV131085 WVR131078:WVR131085 J196614:J196621 JF196614:JF196621 TB196614:TB196621 ACX196614:ACX196621 AMT196614:AMT196621 AWP196614:AWP196621 BGL196614:BGL196621 BQH196614:BQH196621 CAD196614:CAD196621 CJZ196614:CJZ196621 CTV196614:CTV196621 DDR196614:DDR196621 DNN196614:DNN196621 DXJ196614:DXJ196621 EHF196614:EHF196621 ERB196614:ERB196621 FAX196614:FAX196621 FKT196614:FKT196621 FUP196614:FUP196621 GEL196614:GEL196621 GOH196614:GOH196621 GYD196614:GYD196621 HHZ196614:HHZ196621 HRV196614:HRV196621 IBR196614:IBR196621 ILN196614:ILN196621 IVJ196614:IVJ196621 JFF196614:JFF196621 JPB196614:JPB196621 JYX196614:JYX196621 KIT196614:KIT196621 KSP196614:KSP196621 LCL196614:LCL196621 LMH196614:LMH196621 LWD196614:LWD196621 MFZ196614:MFZ196621 MPV196614:MPV196621 MZR196614:MZR196621 NJN196614:NJN196621 NTJ196614:NTJ196621 ODF196614:ODF196621 ONB196614:ONB196621 OWX196614:OWX196621 PGT196614:PGT196621 PQP196614:PQP196621 QAL196614:QAL196621 QKH196614:QKH196621 QUD196614:QUD196621 RDZ196614:RDZ196621 RNV196614:RNV196621 RXR196614:RXR196621 SHN196614:SHN196621 SRJ196614:SRJ196621 TBF196614:TBF196621 TLB196614:TLB196621 TUX196614:TUX196621 UET196614:UET196621 UOP196614:UOP196621 UYL196614:UYL196621 VIH196614:VIH196621 VSD196614:VSD196621 WBZ196614:WBZ196621 WLV196614:WLV196621 WVR196614:WVR196621 J262150:J262157 JF262150:JF262157 TB262150:TB262157 ACX262150:ACX262157 AMT262150:AMT262157 AWP262150:AWP262157 BGL262150:BGL262157 BQH262150:BQH262157 CAD262150:CAD262157 CJZ262150:CJZ262157 CTV262150:CTV262157 DDR262150:DDR262157 DNN262150:DNN262157 DXJ262150:DXJ262157 EHF262150:EHF262157 ERB262150:ERB262157 FAX262150:FAX262157 FKT262150:FKT262157 FUP262150:FUP262157 GEL262150:GEL262157 GOH262150:GOH262157 GYD262150:GYD262157 HHZ262150:HHZ262157 HRV262150:HRV262157 IBR262150:IBR262157 ILN262150:ILN262157 IVJ262150:IVJ262157 JFF262150:JFF262157 JPB262150:JPB262157 JYX262150:JYX262157 KIT262150:KIT262157 KSP262150:KSP262157 LCL262150:LCL262157 LMH262150:LMH262157 LWD262150:LWD262157 MFZ262150:MFZ262157 MPV262150:MPV262157 MZR262150:MZR262157 NJN262150:NJN262157 NTJ262150:NTJ262157 ODF262150:ODF262157 ONB262150:ONB262157 OWX262150:OWX262157 PGT262150:PGT262157 PQP262150:PQP262157 QAL262150:QAL262157 QKH262150:QKH262157 QUD262150:QUD262157 RDZ262150:RDZ262157 RNV262150:RNV262157 RXR262150:RXR262157 SHN262150:SHN262157 SRJ262150:SRJ262157 TBF262150:TBF262157 TLB262150:TLB262157 TUX262150:TUX262157 UET262150:UET262157 UOP262150:UOP262157 UYL262150:UYL262157 VIH262150:VIH262157 VSD262150:VSD262157 WBZ262150:WBZ262157 WLV262150:WLV262157 WVR262150:WVR262157 J327686:J327693 JF327686:JF327693 TB327686:TB327693 ACX327686:ACX327693 AMT327686:AMT327693 AWP327686:AWP327693 BGL327686:BGL327693 BQH327686:BQH327693 CAD327686:CAD327693 CJZ327686:CJZ327693 CTV327686:CTV327693 DDR327686:DDR327693 DNN327686:DNN327693 DXJ327686:DXJ327693 EHF327686:EHF327693 ERB327686:ERB327693 FAX327686:FAX327693 FKT327686:FKT327693 FUP327686:FUP327693 GEL327686:GEL327693 GOH327686:GOH327693 GYD327686:GYD327693 HHZ327686:HHZ327693 HRV327686:HRV327693 IBR327686:IBR327693 ILN327686:ILN327693 IVJ327686:IVJ327693 JFF327686:JFF327693 JPB327686:JPB327693 JYX327686:JYX327693 KIT327686:KIT327693 KSP327686:KSP327693 LCL327686:LCL327693 LMH327686:LMH327693 LWD327686:LWD327693 MFZ327686:MFZ327693 MPV327686:MPV327693 MZR327686:MZR327693 NJN327686:NJN327693 NTJ327686:NTJ327693 ODF327686:ODF327693 ONB327686:ONB327693 OWX327686:OWX327693 PGT327686:PGT327693 PQP327686:PQP327693 QAL327686:QAL327693 QKH327686:QKH327693 QUD327686:QUD327693 RDZ327686:RDZ327693 RNV327686:RNV327693 RXR327686:RXR327693 SHN327686:SHN327693 SRJ327686:SRJ327693 TBF327686:TBF327693 TLB327686:TLB327693 TUX327686:TUX327693 UET327686:UET327693 UOP327686:UOP327693 UYL327686:UYL327693 VIH327686:VIH327693 VSD327686:VSD327693 WBZ327686:WBZ327693 WLV327686:WLV327693 WVR327686:WVR327693 J393222:J393229 JF393222:JF393229 TB393222:TB393229 ACX393222:ACX393229 AMT393222:AMT393229 AWP393222:AWP393229 BGL393222:BGL393229 BQH393222:BQH393229 CAD393222:CAD393229 CJZ393222:CJZ393229 CTV393222:CTV393229 DDR393222:DDR393229 DNN393222:DNN393229 DXJ393222:DXJ393229 EHF393222:EHF393229 ERB393222:ERB393229 FAX393222:FAX393229 FKT393222:FKT393229 FUP393222:FUP393229 GEL393222:GEL393229 GOH393222:GOH393229 GYD393222:GYD393229 HHZ393222:HHZ393229 HRV393222:HRV393229 IBR393222:IBR393229 ILN393222:ILN393229 IVJ393222:IVJ393229 JFF393222:JFF393229 JPB393222:JPB393229 JYX393222:JYX393229 KIT393222:KIT393229 KSP393222:KSP393229 LCL393222:LCL393229 LMH393222:LMH393229 LWD393222:LWD393229 MFZ393222:MFZ393229 MPV393222:MPV393229 MZR393222:MZR393229 NJN393222:NJN393229 NTJ393222:NTJ393229 ODF393222:ODF393229 ONB393222:ONB393229 OWX393222:OWX393229 PGT393222:PGT393229 PQP393222:PQP393229 QAL393222:QAL393229 QKH393222:QKH393229 QUD393222:QUD393229 RDZ393222:RDZ393229 RNV393222:RNV393229 RXR393222:RXR393229 SHN393222:SHN393229 SRJ393222:SRJ393229 TBF393222:TBF393229 TLB393222:TLB393229 TUX393222:TUX393229 UET393222:UET393229 UOP393222:UOP393229 UYL393222:UYL393229 VIH393222:VIH393229 VSD393222:VSD393229 WBZ393222:WBZ393229 WLV393222:WLV393229 WVR393222:WVR393229 J458758:J458765 JF458758:JF458765 TB458758:TB458765 ACX458758:ACX458765 AMT458758:AMT458765 AWP458758:AWP458765 BGL458758:BGL458765 BQH458758:BQH458765 CAD458758:CAD458765 CJZ458758:CJZ458765 CTV458758:CTV458765 DDR458758:DDR458765 DNN458758:DNN458765 DXJ458758:DXJ458765 EHF458758:EHF458765 ERB458758:ERB458765 FAX458758:FAX458765 FKT458758:FKT458765 FUP458758:FUP458765 GEL458758:GEL458765 GOH458758:GOH458765 GYD458758:GYD458765 HHZ458758:HHZ458765 HRV458758:HRV458765 IBR458758:IBR458765 ILN458758:ILN458765 IVJ458758:IVJ458765 JFF458758:JFF458765 JPB458758:JPB458765 JYX458758:JYX458765 KIT458758:KIT458765 KSP458758:KSP458765 LCL458758:LCL458765 LMH458758:LMH458765 LWD458758:LWD458765 MFZ458758:MFZ458765 MPV458758:MPV458765 MZR458758:MZR458765 NJN458758:NJN458765 NTJ458758:NTJ458765 ODF458758:ODF458765 ONB458758:ONB458765 OWX458758:OWX458765 PGT458758:PGT458765 PQP458758:PQP458765 QAL458758:QAL458765 QKH458758:QKH458765 QUD458758:QUD458765 RDZ458758:RDZ458765 RNV458758:RNV458765 RXR458758:RXR458765 SHN458758:SHN458765 SRJ458758:SRJ458765 TBF458758:TBF458765 TLB458758:TLB458765 TUX458758:TUX458765 UET458758:UET458765 UOP458758:UOP458765 UYL458758:UYL458765 VIH458758:VIH458765 VSD458758:VSD458765 WBZ458758:WBZ458765 WLV458758:WLV458765 WVR458758:WVR458765 J524294:J524301 JF524294:JF524301 TB524294:TB524301 ACX524294:ACX524301 AMT524294:AMT524301 AWP524294:AWP524301 BGL524294:BGL524301 BQH524294:BQH524301 CAD524294:CAD524301 CJZ524294:CJZ524301 CTV524294:CTV524301 DDR524294:DDR524301 DNN524294:DNN524301 DXJ524294:DXJ524301 EHF524294:EHF524301 ERB524294:ERB524301 FAX524294:FAX524301 FKT524294:FKT524301 FUP524294:FUP524301 GEL524294:GEL524301 GOH524294:GOH524301 GYD524294:GYD524301 HHZ524294:HHZ524301 HRV524294:HRV524301 IBR524294:IBR524301 ILN524294:ILN524301 IVJ524294:IVJ524301 JFF524294:JFF524301 JPB524294:JPB524301 JYX524294:JYX524301 KIT524294:KIT524301 KSP524294:KSP524301 LCL524294:LCL524301 LMH524294:LMH524301 LWD524294:LWD524301 MFZ524294:MFZ524301 MPV524294:MPV524301 MZR524294:MZR524301 NJN524294:NJN524301 NTJ524294:NTJ524301 ODF524294:ODF524301 ONB524294:ONB524301 OWX524294:OWX524301 PGT524294:PGT524301 PQP524294:PQP524301 QAL524294:QAL524301 QKH524294:QKH524301 QUD524294:QUD524301 RDZ524294:RDZ524301 RNV524294:RNV524301 RXR524294:RXR524301 SHN524294:SHN524301 SRJ524294:SRJ524301 TBF524294:TBF524301 TLB524294:TLB524301 TUX524294:TUX524301 UET524294:UET524301 UOP524294:UOP524301 UYL524294:UYL524301 VIH524294:VIH524301 VSD524294:VSD524301 WBZ524294:WBZ524301 WLV524294:WLV524301 WVR524294:WVR524301 J589830:J589837 JF589830:JF589837 TB589830:TB589837 ACX589830:ACX589837 AMT589830:AMT589837 AWP589830:AWP589837 BGL589830:BGL589837 BQH589830:BQH589837 CAD589830:CAD589837 CJZ589830:CJZ589837 CTV589830:CTV589837 DDR589830:DDR589837 DNN589830:DNN589837 DXJ589830:DXJ589837 EHF589830:EHF589837 ERB589830:ERB589837 FAX589830:FAX589837 FKT589830:FKT589837 FUP589830:FUP589837 GEL589830:GEL589837 GOH589830:GOH589837 GYD589830:GYD589837 HHZ589830:HHZ589837 HRV589830:HRV589837 IBR589830:IBR589837 ILN589830:ILN589837 IVJ589830:IVJ589837 JFF589830:JFF589837 JPB589830:JPB589837 JYX589830:JYX589837 KIT589830:KIT589837 KSP589830:KSP589837 LCL589830:LCL589837 LMH589830:LMH589837 LWD589830:LWD589837 MFZ589830:MFZ589837 MPV589830:MPV589837 MZR589830:MZR589837 NJN589830:NJN589837 NTJ589830:NTJ589837 ODF589830:ODF589837 ONB589830:ONB589837 OWX589830:OWX589837 PGT589830:PGT589837 PQP589830:PQP589837 QAL589830:QAL589837 QKH589830:QKH589837 QUD589830:QUD589837 RDZ589830:RDZ589837 RNV589830:RNV589837 RXR589830:RXR589837 SHN589830:SHN589837 SRJ589830:SRJ589837 TBF589830:TBF589837 TLB589830:TLB589837 TUX589830:TUX589837 UET589830:UET589837 UOP589830:UOP589837 UYL589830:UYL589837 VIH589830:VIH589837 VSD589830:VSD589837 WBZ589830:WBZ589837 WLV589830:WLV589837 WVR589830:WVR589837 J655366:J655373 JF655366:JF655373 TB655366:TB655373 ACX655366:ACX655373 AMT655366:AMT655373 AWP655366:AWP655373 BGL655366:BGL655373 BQH655366:BQH655373 CAD655366:CAD655373 CJZ655366:CJZ655373 CTV655366:CTV655373 DDR655366:DDR655373 DNN655366:DNN655373 DXJ655366:DXJ655373 EHF655366:EHF655373 ERB655366:ERB655373 FAX655366:FAX655373 FKT655366:FKT655373 FUP655366:FUP655373 GEL655366:GEL655373 GOH655366:GOH655373 GYD655366:GYD655373 HHZ655366:HHZ655373 HRV655366:HRV655373 IBR655366:IBR655373 ILN655366:ILN655373 IVJ655366:IVJ655373 JFF655366:JFF655373 JPB655366:JPB655373 JYX655366:JYX655373 KIT655366:KIT655373 KSP655366:KSP655373 LCL655366:LCL655373 LMH655366:LMH655373 LWD655366:LWD655373 MFZ655366:MFZ655373 MPV655366:MPV655373 MZR655366:MZR655373 NJN655366:NJN655373 NTJ655366:NTJ655373 ODF655366:ODF655373 ONB655366:ONB655373 OWX655366:OWX655373 PGT655366:PGT655373 PQP655366:PQP655373 QAL655366:QAL655373 QKH655366:QKH655373 QUD655366:QUD655373 RDZ655366:RDZ655373 RNV655366:RNV655373 RXR655366:RXR655373 SHN655366:SHN655373 SRJ655366:SRJ655373 TBF655366:TBF655373 TLB655366:TLB655373 TUX655366:TUX655373 UET655366:UET655373 UOP655366:UOP655373 UYL655366:UYL655373 VIH655366:VIH655373 VSD655366:VSD655373 WBZ655366:WBZ655373 WLV655366:WLV655373 WVR655366:WVR655373 J720902:J720909 JF720902:JF720909 TB720902:TB720909 ACX720902:ACX720909 AMT720902:AMT720909 AWP720902:AWP720909 BGL720902:BGL720909 BQH720902:BQH720909 CAD720902:CAD720909 CJZ720902:CJZ720909 CTV720902:CTV720909 DDR720902:DDR720909 DNN720902:DNN720909 DXJ720902:DXJ720909 EHF720902:EHF720909 ERB720902:ERB720909 FAX720902:FAX720909 FKT720902:FKT720909 FUP720902:FUP720909 GEL720902:GEL720909 GOH720902:GOH720909 GYD720902:GYD720909 HHZ720902:HHZ720909 HRV720902:HRV720909 IBR720902:IBR720909 ILN720902:ILN720909 IVJ720902:IVJ720909 JFF720902:JFF720909 JPB720902:JPB720909 JYX720902:JYX720909 KIT720902:KIT720909 KSP720902:KSP720909 LCL720902:LCL720909 LMH720902:LMH720909 LWD720902:LWD720909 MFZ720902:MFZ720909 MPV720902:MPV720909 MZR720902:MZR720909 NJN720902:NJN720909 NTJ720902:NTJ720909 ODF720902:ODF720909 ONB720902:ONB720909 OWX720902:OWX720909 PGT720902:PGT720909 PQP720902:PQP720909 QAL720902:QAL720909 QKH720902:QKH720909 QUD720902:QUD720909 RDZ720902:RDZ720909 RNV720902:RNV720909 RXR720902:RXR720909 SHN720902:SHN720909 SRJ720902:SRJ720909 TBF720902:TBF720909 TLB720902:TLB720909 TUX720902:TUX720909 UET720902:UET720909 UOP720902:UOP720909 UYL720902:UYL720909 VIH720902:VIH720909 VSD720902:VSD720909 WBZ720902:WBZ720909 WLV720902:WLV720909 WVR720902:WVR720909 J786438:J786445 JF786438:JF786445 TB786438:TB786445 ACX786438:ACX786445 AMT786438:AMT786445 AWP786438:AWP786445 BGL786438:BGL786445 BQH786438:BQH786445 CAD786438:CAD786445 CJZ786438:CJZ786445 CTV786438:CTV786445 DDR786438:DDR786445 DNN786438:DNN786445 DXJ786438:DXJ786445 EHF786438:EHF786445 ERB786438:ERB786445 FAX786438:FAX786445 FKT786438:FKT786445 FUP786438:FUP786445 GEL786438:GEL786445 GOH786438:GOH786445 GYD786438:GYD786445 HHZ786438:HHZ786445 HRV786438:HRV786445 IBR786438:IBR786445 ILN786438:ILN786445 IVJ786438:IVJ786445 JFF786438:JFF786445 JPB786438:JPB786445 JYX786438:JYX786445 KIT786438:KIT786445 KSP786438:KSP786445 LCL786438:LCL786445 LMH786438:LMH786445 LWD786438:LWD786445 MFZ786438:MFZ786445 MPV786438:MPV786445 MZR786438:MZR786445 NJN786438:NJN786445 NTJ786438:NTJ786445 ODF786438:ODF786445 ONB786438:ONB786445 OWX786438:OWX786445 PGT786438:PGT786445 PQP786438:PQP786445 QAL786438:QAL786445 QKH786438:QKH786445 QUD786438:QUD786445 RDZ786438:RDZ786445 RNV786438:RNV786445 RXR786438:RXR786445 SHN786438:SHN786445 SRJ786438:SRJ786445 TBF786438:TBF786445 TLB786438:TLB786445 TUX786438:TUX786445 UET786438:UET786445 UOP786438:UOP786445 UYL786438:UYL786445 VIH786438:VIH786445 VSD786438:VSD786445 WBZ786438:WBZ786445 WLV786438:WLV786445 WVR786438:WVR786445 J851974:J851981 JF851974:JF851981 TB851974:TB851981 ACX851974:ACX851981 AMT851974:AMT851981 AWP851974:AWP851981 BGL851974:BGL851981 BQH851974:BQH851981 CAD851974:CAD851981 CJZ851974:CJZ851981 CTV851974:CTV851981 DDR851974:DDR851981 DNN851974:DNN851981 DXJ851974:DXJ851981 EHF851974:EHF851981 ERB851974:ERB851981 FAX851974:FAX851981 FKT851974:FKT851981 FUP851974:FUP851981 GEL851974:GEL851981 GOH851974:GOH851981 GYD851974:GYD851981 HHZ851974:HHZ851981 HRV851974:HRV851981 IBR851974:IBR851981 ILN851974:ILN851981 IVJ851974:IVJ851981 JFF851974:JFF851981 JPB851974:JPB851981 JYX851974:JYX851981 KIT851974:KIT851981 KSP851974:KSP851981 LCL851974:LCL851981 LMH851974:LMH851981 LWD851974:LWD851981 MFZ851974:MFZ851981 MPV851974:MPV851981 MZR851974:MZR851981 NJN851974:NJN851981 NTJ851974:NTJ851981 ODF851974:ODF851981 ONB851974:ONB851981 OWX851974:OWX851981 PGT851974:PGT851981 PQP851974:PQP851981 QAL851974:QAL851981 QKH851974:QKH851981 QUD851974:QUD851981 RDZ851974:RDZ851981 RNV851974:RNV851981 RXR851974:RXR851981 SHN851974:SHN851981 SRJ851974:SRJ851981 TBF851974:TBF851981 TLB851974:TLB851981 TUX851974:TUX851981 UET851974:UET851981 UOP851974:UOP851981 UYL851974:UYL851981 VIH851974:VIH851981 VSD851974:VSD851981 WBZ851974:WBZ851981 WLV851974:WLV851981 WVR851974:WVR851981 J917510:J917517 JF917510:JF917517 TB917510:TB917517 ACX917510:ACX917517 AMT917510:AMT917517 AWP917510:AWP917517 BGL917510:BGL917517 BQH917510:BQH917517 CAD917510:CAD917517 CJZ917510:CJZ917517 CTV917510:CTV917517 DDR917510:DDR917517 DNN917510:DNN917517 DXJ917510:DXJ917517 EHF917510:EHF917517 ERB917510:ERB917517 FAX917510:FAX917517 FKT917510:FKT917517 FUP917510:FUP917517 GEL917510:GEL917517 GOH917510:GOH917517 GYD917510:GYD917517 HHZ917510:HHZ917517 HRV917510:HRV917517 IBR917510:IBR917517 ILN917510:ILN917517 IVJ917510:IVJ917517 JFF917510:JFF917517 JPB917510:JPB917517 JYX917510:JYX917517 KIT917510:KIT917517 KSP917510:KSP917517 LCL917510:LCL917517 LMH917510:LMH917517 LWD917510:LWD917517 MFZ917510:MFZ917517 MPV917510:MPV917517 MZR917510:MZR917517 NJN917510:NJN917517 NTJ917510:NTJ917517 ODF917510:ODF917517 ONB917510:ONB917517 OWX917510:OWX917517 PGT917510:PGT917517 PQP917510:PQP917517 QAL917510:QAL917517 QKH917510:QKH917517 QUD917510:QUD917517 RDZ917510:RDZ917517 RNV917510:RNV917517 RXR917510:RXR917517 SHN917510:SHN917517 SRJ917510:SRJ917517 TBF917510:TBF917517 TLB917510:TLB917517 TUX917510:TUX917517 UET917510:UET917517 UOP917510:UOP917517 UYL917510:UYL917517 VIH917510:VIH917517 VSD917510:VSD917517 WBZ917510:WBZ917517 WLV917510:WLV917517 WVR917510:WVR917517 J983046:J983053 JF983046:JF983053 TB983046:TB983053 ACX983046:ACX983053 AMT983046:AMT983053 AWP983046:AWP983053 BGL983046:BGL983053 BQH983046:BQH983053 CAD983046:CAD983053 CJZ983046:CJZ983053 CTV983046:CTV983053 DDR983046:DDR983053 DNN983046:DNN983053 DXJ983046:DXJ983053 EHF983046:EHF983053 ERB983046:ERB983053 FAX983046:FAX983053 FKT983046:FKT983053 FUP983046:FUP983053 GEL983046:GEL983053 GOH983046:GOH983053 GYD983046:GYD983053 HHZ983046:HHZ983053 HRV983046:HRV983053 IBR983046:IBR983053 ILN983046:ILN983053 IVJ983046:IVJ983053 JFF983046:JFF983053 JPB983046:JPB983053 JYX983046:JYX983053 KIT983046:KIT983053 KSP983046:KSP983053 LCL983046:LCL983053 LMH983046:LMH983053 LWD983046:LWD983053 MFZ983046:MFZ983053 MPV983046:MPV983053 MZR983046:MZR983053 NJN983046:NJN983053 NTJ983046:NTJ983053 ODF983046:ODF983053 ONB983046:ONB983053 OWX983046:OWX983053 PGT983046:PGT983053 PQP983046:PQP983053 QAL983046:QAL983053 QKH983046:QKH983053 QUD983046:QUD983053 RDZ983046:RDZ983053 RNV983046:RNV983053 RXR983046:RXR983053 SHN983046:SHN983053 SRJ983046:SRJ983053 TBF983046:TBF983053 TLB983046:TLB983053 TUX983046:TUX983053 UET983046:UET983053 UOP983046:UOP983053 UYL983046:UYL983053 VIH983046:VIH983053 VSD983046:VSD983053 WBZ983046:WBZ983053 WLV983046:WLV983053 WVR983046:WVR983053" xr:uid="{00000000-0002-0000-0100-000000000000}">
      <formula1>1</formula1>
      <formula2>20</formula2>
    </dataValidation>
    <dataValidation type="decimal" allowBlank="1" showInputMessage="1" showErrorMessage="1" errorTitle="Dezimalwert" error="Wert muß zwischen -9999,9999 und 9999,9999 liegen" promptTitle="Dezimalwer" sqref="B3:B52 IX3:IX52 ST3:ST52 ACP3:ACP52 AML3:AML52 AWH3:AWH52 BGD3:BGD52 BPZ3:BPZ52 BZV3:BZV52 CJR3:CJR52 CTN3:CTN52 DDJ3:DDJ52 DNF3:DNF52 DXB3:DXB52 EGX3:EGX52 EQT3:EQT52 FAP3:FAP52 FKL3:FKL52 FUH3:FUH52 GED3:GED52 GNZ3:GNZ52 GXV3:GXV52 HHR3:HHR52 HRN3:HRN52 IBJ3:IBJ52 ILF3:ILF52 IVB3:IVB52 JEX3:JEX52 JOT3:JOT52 JYP3:JYP52 KIL3:KIL52 KSH3:KSH52 LCD3:LCD52 LLZ3:LLZ52 LVV3:LVV52 MFR3:MFR52 MPN3:MPN52 MZJ3:MZJ52 NJF3:NJF52 NTB3:NTB52 OCX3:OCX52 OMT3:OMT52 OWP3:OWP52 PGL3:PGL52 PQH3:PQH52 QAD3:QAD52 QJZ3:QJZ52 QTV3:QTV52 RDR3:RDR52 RNN3:RNN52 RXJ3:RXJ52 SHF3:SHF52 SRB3:SRB52 TAX3:TAX52 TKT3:TKT52 TUP3:TUP52 UEL3:UEL52 UOH3:UOH52 UYD3:UYD52 VHZ3:VHZ52 VRV3:VRV52 WBR3:WBR52 WLN3:WLN52 WVJ3:WVJ52 B65539:B65588 IX65539:IX65588 ST65539:ST65588 ACP65539:ACP65588 AML65539:AML65588 AWH65539:AWH65588 BGD65539:BGD65588 BPZ65539:BPZ65588 BZV65539:BZV65588 CJR65539:CJR65588 CTN65539:CTN65588 DDJ65539:DDJ65588 DNF65539:DNF65588 DXB65539:DXB65588 EGX65539:EGX65588 EQT65539:EQT65588 FAP65539:FAP65588 FKL65539:FKL65588 FUH65539:FUH65588 GED65539:GED65588 GNZ65539:GNZ65588 GXV65539:GXV65588 HHR65539:HHR65588 HRN65539:HRN65588 IBJ65539:IBJ65588 ILF65539:ILF65588 IVB65539:IVB65588 JEX65539:JEX65588 JOT65539:JOT65588 JYP65539:JYP65588 KIL65539:KIL65588 KSH65539:KSH65588 LCD65539:LCD65588 LLZ65539:LLZ65588 LVV65539:LVV65588 MFR65539:MFR65588 MPN65539:MPN65588 MZJ65539:MZJ65588 NJF65539:NJF65588 NTB65539:NTB65588 OCX65539:OCX65588 OMT65539:OMT65588 OWP65539:OWP65588 PGL65539:PGL65588 PQH65539:PQH65588 QAD65539:QAD65588 QJZ65539:QJZ65588 QTV65539:QTV65588 RDR65539:RDR65588 RNN65539:RNN65588 RXJ65539:RXJ65588 SHF65539:SHF65588 SRB65539:SRB65588 TAX65539:TAX65588 TKT65539:TKT65588 TUP65539:TUP65588 UEL65539:UEL65588 UOH65539:UOH65588 UYD65539:UYD65588 VHZ65539:VHZ65588 VRV65539:VRV65588 WBR65539:WBR65588 WLN65539:WLN65588 WVJ65539:WVJ65588 B131075:B131124 IX131075:IX131124 ST131075:ST131124 ACP131075:ACP131124 AML131075:AML131124 AWH131075:AWH131124 BGD131075:BGD131124 BPZ131075:BPZ131124 BZV131075:BZV131124 CJR131075:CJR131124 CTN131075:CTN131124 DDJ131075:DDJ131124 DNF131075:DNF131124 DXB131075:DXB131124 EGX131075:EGX131124 EQT131075:EQT131124 FAP131075:FAP131124 FKL131075:FKL131124 FUH131075:FUH131124 GED131075:GED131124 GNZ131075:GNZ131124 GXV131075:GXV131124 HHR131075:HHR131124 HRN131075:HRN131124 IBJ131075:IBJ131124 ILF131075:ILF131124 IVB131075:IVB131124 JEX131075:JEX131124 JOT131075:JOT131124 JYP131075:JYP131124 KIL131075:KIL131124 KSH131075:KSH131124 LCD131075:LCD131124 LLZ131075:LLZ131124 LVV131075:LVV131124 MFR131075:MFR131124 MPN131075:MPN131124 MZJ131075:MZJ131124 NJF131075:NJF131124 NTB131075:NTB131124 OCX131075:OCX131124 OMT131075:OMT131124 OWP131075:OWP131124 PGL131075:PGL131124 PQH131075:PQH131124 QAD131075:QAD131124 QJZ131075:QJZ131124 QTV131075:QTV131124 RDR131075:RDR131124 RNN131075:RNN131124 RXJ131075:RXJ131124 SHF131075:SHF131124 SRB131075:SRB131124 TAX131075:TAX131124 TKT131075:TKT131124 TUP131075:TUP131124 UEL131075:UEL131124 UOH131075:UOH131124 UYD131075:UYD131124 VHZ131075:VHZ131124 VRV131075:VRV131124 WBR131075:WBR131124 WLN131075:WLN131124 WVJ131075:WVJ131124 B196611:B196660 IX196611:IX196660 ST196611:ST196660 ACP196611:ACP196660 AML196611:AML196660 AWH196611:AWH196660 BGD196611:BGD196660 BPZ196611:BPZ196660 BZV196611:BZV196660 CJR196611:CJR196660 CTN196611:CTN196660 DDJ196611:DDJ196660 DNF196611:DNF196660 DXB196611:DXB196660 EGX196611:EGX196660 EQT196611:EQT196660 FAP196611:FAP196660 FKL196611:FKL196660 FUH196611:FUH196660 GED196611:GED196660 GNZ196611:GNZ196660 GXV196611:GXV196660 HHR196611:HHR196660 HRN196611:HRN196660 IBJ196611:IBJ196660 ILF196611:ILF196660 IVB196611:IVB196660 JEX196611:JEX196660 JOT196611:JOT196660 JYP196611:JYP196660 KIL196611:KIL196660 KSH196611:KSH196660 LCD196611:LCD196660 LLZ196611:LLZ196660 LVV196611:LVV196660 MFR196611:MFR196660 MPN196611:MPN196660 MZJ196611:MZJ196660 NJF196611:NJF196660 NTB196611:NTB196660 OCX196611:OCX196660 OMT196611:OMT196660 OWP196611:OWP196660 PGL196611:PGL196660 PQH196611:PQH196660 QAD196611:QAD196660 QJZ196611:QJZ196660 QTV196611:QTV196660 RDR196611:RDR196660 RNN196611:RNN196660 RXJ196611:RXJ196660 SHF196611:SHF196660 SRB196611:SRB196660 TAX196611:TAX196660 TKT196611:TKT196660 TUP196611:TUP196660 UEL196611:UEL196660 UOH196611:UOH196660 UYD196611:UYD196660 VHZ196611:VHZ196660 VRV196611:VRV196660 WBR196611:WBR196660 WLN196611:WLN196660 WVJ196611:WVJ196660 B262147:B262196 IX262147:IX262196 ST262147:ST262196 ACP262147:ACP262196 AML262147:AML262196 AWH262147:AWH262196 BGD262147:BGD262196 BPZ262147:BPZ262196 BZV262147:BZV262196 CJR262147:CJR262196 CTN262147:CTN262196 DDJ262147:DDJ262196 DNF262147:DNF262196 DXB262147:DXB262196 EGX262147:EGX262196 EQT262147:EQT262196 FAP262147:FAP262196 FKL262147:FKL262196 FUH262147:FUH262196 GED262147:GED262196 GNZ262147:GNZ262196 GXV262147:GXV262196 HHR262147:HHR262196 HRN262147:HRN262196 IBJ262147:IBJ262196 ILF262147:ILF262196 IVB262147:IVB262196 JEX262147:JEX262196 JOT262147:JOT262196 JYP262147:JYP262196 KIL262147:KIL262196 KSH262147:KSH262196 LCD262147:LCD262196 LLZ262147:LLZ262196 LVV262147:LVV262196 MFR262147:MFR262196 MPN262147:MPN262196 MZJ262147:MZJ262196 NJF262147:NJF262196 NTB262147:NTB262196 OCX262147:OCX262196 OMT262147:OMT262196 OWP262147:OWP262196 PGL262147:PGL262196 PQH262147:PQH262196 QAD262147:QAD262196 QJZ262147:QJZ262196 QTV262147:QTV262196 RDR262147:RDR262196 RNN262147:RNN262196 RXJ262147:RXJ262196 SHF262147:SHF262196 SRB262147:SRB262196 TAX262147:TAX262196 TKT262147:TKT262196 TUP262147:TUP262196 UEL262147:UEL262196 UOH262147:UOH262196 UYD262147:UYD262196 VHZ262147:VHZ262196 VRV262147:VRV262196 WBR262147:WBR262196 WLN262147:WLN262196 WVJ262147:WVJ262196 B327683:B327732 IX327683:IX327732 ST327683:ST327732 ACP327683:ACP327732 AML327683:AML327732 AWH327683:AWH327732 BGD327683:BGD327732 BPZ327683:BPZ327732 BZV327683:BZV327732 CJR327683:CJR327732 CTN327683:CTN327732 DDJ327683:DDJ327732 DNF327683:DNF327732 DXB327683:DXB327732 EGX327683:EGX327732 EQT327683:EQT327732 FAP327683:FAP327732 FKL327683:FKL327732 FUH327683:FUH327732 GED327683:GED327732 GNZ327683:GNZ327732 GXV327683:GXV327732 HHR327683:HHR327732 HRN327683:HRN327732 IBJ327683:IBJ327732 ILF327683:ILF327732 IVB327683:IVB327732 JEX327683:JEX327732 JOT327683:JOT327732 JYP327683:JYP327732 KIL327683:KIL327732 KSH327683:KSH327732 LCD327683:LCD327732 LLZ327683:LLZ327732 LVV327683:LVV327732 MFR327683:MFR327732 MPN327683:MPN327732 MZJ327683:MZJ327732 NJF327683:NJF327732 NTB327683:NTB327732 OCX327683:OCX327732 OMT327683:OMT327732 OWP327683:OWP327732 PGL327683:PGL327732 PQH327683:PQH327732 QAD327683:QAD327732 QJZ327683:QJZ327732 QTV327683:QTV327732 RDR327683:RDR327732 RNN327683:RNN327732 RXJ327683:RXJ327732 SHF327683:SHF327732 SRB327683:SRB327732 TAX327683:TAX327732 TKT327683:TKT327732 TUP327683:TUP327732 UEL327683:UEL327732 UOH327683:UOH327732 UYD327683:UYD327732 VHZ327683:VHZ327732 VRV327683:VRV327732 WBR327683:WBR327732 WLN327683:WLN327732 WVJ327683:WVJ327732 B393219:B393268 IX393219:IX393268 ST393219:ST393268 ACP393219:ACP393268 AML393219:AML393268 AWH393219:AWH393268 BGD393219:BGD393268 BPZ393219:BPZ393268 BZV393219:BZV393268 CJR393219:CJR393268 CTN393219:CTN393268 DDJ393219:DDJ393268 DNF393219:DNF393268 DXB393219:DXB393268 EGX393219:EGX393268 EQT393219:EQT393268 FAP393219:FAP393268 FKL393219:FKL393268 FUH393219:FUH393268 GED393219:GED393268 GNZ393219:GNZ393268 GXV393219:GXV393268 HHR393219:HHR393268 HRN393219:HRN393268 IBJ393219:IBJ393268 ILF393219:ILF393268 IVB393219:IVB393268 JEX393219:JEX393268 JOT393219:JOT393268 JYP393219:JYP393268 KIL393219:KIL393268 KSH393219:KSH393268 LCD393219:LCD393268 LLZ393219:LLZ393268 LVV393219:LVV393268 MFR393219:MFR393268 MPN393219:MPN393268 MZJ393219:MZJ393268 NJF393219:NJF393268 NTB393219:NTB393268 OCX393219:OCX393268 OMT393219:OMT393268 OWP393219:OWP393268 PGL393219:PGL393268 PQH393219:PQH393268 QAD393219:QAD393268 QJZ393219:QJZ393268 QTV393219:QTV393268 RDR393219:RDR393268 RNN393219:RNN393268 RXJ393219:RXJ393268 SHF393219:SHF393268 SRB393219:SRB393268 TAX393219:TAX393268 TKT393219:TKT393268 TUP393219:TUP393268 UEL393219:UEL393268 UOH393219:UOH393268 UYD393219:UYD393268 VHZ393219:VHZ393268 VRV393219:VRV393268 WBR393219:WBR393268 WLN393219:WLN393268 WVJ393219:WVJ393268 B458755:B458804 IX458755:IX458804 ST458755:ST458804 ACP458755:ACP458804 AML458755:AML458804 AWH458755:AWH458804 BGD458755:BGD458804 BPZ458755:BPZ458804 BZV458755:BZV458804 CJR458755:CJR458804 CTN458755:CTN458804 DDJ458755:DDJ458804 DNF458755:DNF458804 DXB458755:DXB458804 EGX458755:EGX458804 EQT458755:EQT458804 FAP458755:FAP458804 FKL458755:FKL458804 FUH458755:FUH458804 GED458755:GED458804 GNZ458755:GNZ458804 GXV458755:GXV458804 HHR458755:HHR458804 HRN458755:HRN458804 IBJ458755:IBJ458804 ILF458755:ILF458804 IVB458755:IVB458804 JEX458755:JEX458804 JOT458755:JOT458804 JYP458755:JYP458804 KIL458755:KIL458804 KSH458755:KSH458804 LCD458755:LCD458804 LLZ458755:LLZ458804 LVV458755:LVV458804 MFR458755:MFR458804 MPN458755:MPN458804 MZJ458755:MZJ458804 NJF458755:NJF458804 NTB458755:NTB458804 OCX458755:OCX458804 OMT458755:OMT458804 OWP458755:OWP458804 PGL458755:PGL458804 PQH458755:PQH458804 QAD458755:QAD458804 QJZ458755:QJZ458804 QTV458755:QTV458804 RDR458755:RDR458804 RNN458755:RNN458804 RXJ458755:RXJ458804 SHF458755:SHF458804 SRB458755:SRB458804 TAX458755:TAX458804 TKT458755:TKT458804 TUP458755:TUP458804 UEL458755:UEL458804 UOH458755:UOH458804 UYD458755:UYD458804 VHZ458755:VHZ458804 VRV458755:VRV458804 WBR458755:WBR458804 WLN458755:WLN458804 WVJ458755:WVJ458804 B524291:B524340 IX524291:IX524340 ST524291:ST524340 ACP524291:ACP524340 AML524291:AML524340 AWH524291:AWH524340 BGD524291:BGD524340 BPZ524291:BPZ524340 BZV524291:BZV524340 CJR524291:CJR524340 CTN524291:CTN524340 DDJ524291:DDJ524340 DNF524291:DNF524340 DXB524291:DXB524340 EGX524291:EGX524340 EQT524291:EQT524340 FAP524291:FAP524340 FKL524291:FKL524340 FUH524291:FUH524340 GED524291:GED524340 GNZ524291:GNZ524340 GXV524291:GXV524340 HHR524291:HHR524340 HRN524291:HRN524340 IBJ524291:IBJ524340 ILF524291:ILF524340 IVB524291:IVB524340 JEX524291:JEX524340 JOT524291:JOT524340 JYP524291:JYP524340 KIL524291:KIL524340 KSH524291:KSH524340 LCD524291:LCD524340 LLZ524291:LLZ524340 LVV524291:LVV524340 MFR524291:MFR524340 MPN524291:MPN524340 MZJ524291:MZJ524340 NJF524291:NJF524340 NTB524291:NTB524340 OCX524291:OCX524340 OMT524291:OMT524340 OWP524291:OWP524340 PGL524291:PGL524340 PQH524291:PQH524340 QAD524291:QAD524340 QJZ524291:QJZ524340 QTV524291:QTV524340 RDR524291:RDR524340 RNN524291:RNN524340 RXJ524291:RXJ524340 SHF524291:SHF524340 SRB524291:SRB524340 TAX524291:TAX524340 TKT524291:TKT524340 TUP524291:TUP524340 UEL524291:UEL524340 UOH524291:UOH524340 UYD524291:UYD524340 VHZ524291:VHZ524340 VRV524291:VRV524340 WBR524291:WBR524340 WLN524291:WLN524340 WVJ524291:WVJ524340 B589827:B589876 IX589827:IX589876 ST589827:ST589876 ACP589827:ACP589876 AML589827:AML589876 AWH589827:AWH589876 BGD589827:BGD589876 BPZ589827:BPZ589876 BZV589827:BZV589876 CJR589827:CJR589876 CTN589827:CTN589876 DDJ589827:DDJ589876 DNF589827:DNF589876 DXB589827:DXB589876 EGX589827:EGX589876 EQT589827:EQT589876 FAP589827:FAP589876 FKL589827:FKL589876 FUH589827:FUH589876 GED589827:GED589876 GNZ589827:GNZ589876 GXV589827:GXV589876 HHR589827:HHR589876 HRN589827:HRN589876 IBJ589827:IBJ589876 ILF589827:ILF589876 IVB589827:IVB589876 JEX589827:JEX589876 JOT589827:JOT589876 JYP589827:JYP589876 KIL589827:KIL589876 KSH589827:KSH589876 LCD589827:LCD589876 LLZ589827:LLZ589876 LVV589827:LVV589876 MFR589827:MFR589876 MPN589827:MPN589876 MZJ589827:MZJ589876 NJF589827:NJF589876 NTB589827:NTB589876 OCX589827:OCX589876 OMT589827:OMT589876 OWP589827:OWP589876 PGL589827:PGL589876 PQH589827:PQH589876 QAD589827:QAD589876 QJZ589827:QJZ589876 QTV589827:QTV589876 RDR589827:RDR589876 RNN589827:RNN589876 RXJ589827:RXJ589876 SHF589827:SHF589876 SRB589827:SRB589876 TAX589827:TAX589876 TKT589827:TKT589876 TUP589827:TUP589876 UEL589827:UEL589876 UOH589827:UOH589876 UYD589827:UYD589876 VHZ589827:VHZ589876 VRV589827:VRV589876 WBR589827:WBR589876 WLN589827:WLN589876 WVJ589827:WVJ589876 B655363:B655412 IX655363:IX655412 ST655363:ST655412 ACP655363:ACP655412 AML655363:AML655412 AWH655363:AWH655412 BGD655363:BGD655412 BPZ655363:BPZ655412 BZV655363:BZV655412 CJR655363:CJR655412 CTN655363:CTN655412 DDJ655363:DDJ655412 DNF655363:DNF655412 DXB655363:DXB655412 EGX655363:EGX655412 EQT655363:EQT655412 FAP655363:FAP655412 FKL655363:FKL655412 FUH655363:FUH655412 GED655363:GED655412 GNZ655363:GNZ655412 GXV655363:GXV655412 HHR655363:HHR655412 HRN655363:HRN655412 IBJ655363:IBJ655412 ILF655363:ILF655412 IVB655363:IVB655412 JEX655363:JEX655412 JOT655363:JOT655412 JYP655363:JYP655412 KIL655363:KIL655412 KSH655363:KSH655412 LCD655363:LCD655412 LLZ655363:LLZ655412 LVV655363:LVV655412 MFR655363:MFR655412 MPN655363:MPN655412 MZJ655363:MZJ655412 NJF655363:NJF655412 NTB655363:NTB655412 OCX655363:OCX655412 OMT655363:OMT655412 OWP655363:OWP655412 PGL655363:PGL655412 PQH655363:PQH655412 QAD655363:QAD655412 QJZ655363:QJZ655412 QTV655363:QTV655412 RDR655363:RDR655412 RNN655363:RNN655412 RXJ655363:RXJ655412 SHF655363:SHF655412 SRB655363:SRB655412 TAX655363:TAX655412 TKT655363:TKT655412 TUP655363:TUP655412 UEL655363:UEL655412 UOH655363:UOH655412 UYD655363:UYD655412 VHZ655363:VHZ655412 VRV655363:VRV655412 WBR655363:WBR655412 WLN655363:WLN655412 WVJ655363:WVJ655412 B720899:B720948 IX720899:IX720948 ST720899:ST720948 ACP720899:ACP720948 AML720899:AML720948 AWH720899:AWH720948 BGD720899:BGD720948 BPZ720899:BPZ720948 BZV720899:BZV720948 CJR720899:CJR720948 CTN720899:CTN720948 DDJ720899:DDJ720948 DNF720899:DNF720948 DXB720899:DXB720948 EGX720899:EGX720948 EQT720899:EQT720948 FAP720899:FAP720948 FKL720899:FKL720948 FUH720899:FUH720948 GED720899:GED720948 GNZ720899:GNZ720948 GXV720899:GXV720948 HHR720899:HHR720948 HRN720899:HRN720948 IBJ720899:IBJ720948 ILF720899:ILF720948 IVB720899:IVB720948 JEX720899:JEX720948 JOT720899:JOT720948 JYP720899:JYP720948 KIL720899:KIL720948 KSH720899:KSH720948 LCD720899:LCD720948 LLZ720899:LLZ720948 LVV720899:LVV720948 MFR720899:MFR720948 MPN720899:MPN720948 MZJ720899:MZJ720948 NJF720899:NJF720948 NTB720899:NTB720948 OCX720899:OCX720948 OMT720899:OMT720948 OWP720899:OWP720948 PGL720899:PGL720948 PQH720899:PQH720948 QAD720899:QAD720948 QJZ720899:QJZ720948 QTV720899:QTV720948 RDR720899:RDR720948 RNN720899:RNN720948 RXJ720899:RXJ720948 SHF720899:SHF720948 SRB720899:SRB720948 TAX720899:TAX720948 TKT720899:TKT720948 TUP720899:TUP720948 UEL720899:UEL720948 UOH720899:UOH720948 UYD720899:UYD720948 VHZ720899:VHZ720948 VRV720899:VRV720948 WBR720899:WBR720948 WLN720899:WLN720948 WVJ720899:WVJ720948 B786435:B786484 IX786435:IX786484 ST786435:ST786484 ACP786435:ACP786484 AML786435:AML786484 AWH786435:AWH786484 BGD786435:BGD786484 BPZ786435:BPZ786484 BZV786435:BZV786484 CJR786435:CJR786484 CTN786435:CTN786484 DDJ786435:DDJ786484 DNF786435:DNF786484 DXB786435:DXB786484 EGX786435:EGX786484 EQT786435:EQT786484 FAP786435:FAP786484 FKL786435:FKL786484 FUH786435:FUH786484 GED786435:GED786484 GNZ786435:GNZ786484 GXV786435:GXV786484 HHR786435:HHR786484 HRN786435:HRN786484 IBJ786435:IBJ786484 ILF786435:ILF786484 IVB786435:IVB786484 JEX786435:JEX786484 JOT786435:JOT786484 JYP786435:JYP786484 KIL786435:KIL786484 KSH786435:KSH786484 LCD786435:LCD786484 LLZ786435:LLZ786484 LVV786435:LVV786484 MFR786435:MFR786484 MPN786435:MPN786484 MZJ786435:MZJ786484 NJF786435:NJF786484 NTB786435:NTB786484 OCX786435:OCX786484 OMT786435:OMT786484 OWP786435:OWP786484 PGL786435:PGL786484 PQH786435:PQH786484 QAD786435:QAD786484 QJZ786435:QJZ786484 QTV786435:QTV786484 RDR786435:RDR786484 RNN786435:RNN786484 RXJ786435:RXJ786484 SHF786435:SHF786484 SRB786435:SRB786484 TAX786435:TAX786484 TKT786435:TKT786484 TUP786435:TUP786484 UEL786435:UEL786484 UOH786435:UOH786484 UYD786435:UYD786484 VHZ786435:VHZ786484 VRV786435:VRV786484 WBR786435:WBR786484 WLN786435:WLN786484 WVJ786435:WVJ786484 B851971:B852020 IX851971:IX852020 ST851971:ST852020 ACP851971:ACP852020 AML851971:AML852020 AWH851971:AWH852020 BGD851971:BGD852020 BPZ851971:BPZ852020 BZV851971:BZV852020 CJR851971:CJR852020 CTN851971:CTN852020 DDJ851971:DDJ852020 DNF851971:DNF852020 DXB851971:DXB852020 EGX851971:EGX852020 EQT851971:EQT852020 FAP851971:FAP852020 FKL851971:FKL852020 FUH851971:FUH852020 GED851971:GED852020 GNZ851971:GNZ852020 GXV851971:GXV852020 HHR851971:HHR852020 HRN851971:HRN852020 IBJ851971:IBJ852020 ILF851971:ILF852020 IVB851971:IVB852020 JEX851971:JEX852020 JOT851971:JOT852020 JYP851971:JYP852020 KIL851971:KIL852020 KSH851971:KSH852020 LCD851971:LCD852020 LLZ851971:LLZ852020 LVV851971:LVV852020 MFR851971:MFR852020 MPN851971:MPN852020 MZJ851971:MZJ852020 NJF851971:NJF852020 NTB851971:NTB852020 OCX851971:OCX852020 OMT851971:OMT852020 OWP851971:OWP852020 PGL851971:PGL852020 PQH851971:PQH852020 QAD851971:QAD852020 QJZ851971:QJZ852020 QTV851971:QTV852020 RDR851971:RDR852020 RNN851971:RNN852020 RXJ851971:RXJ852020 SHF851971:SHF852020 SRB851971:SRB852020 TAX851971:TAX852020 TKT851971:TKT852020 TUP851971:TUP852020 UEL851971:UEL852020 UOH851971:UOH852020 UYD851971:UYD852020 VHZ851971:VHZ852020 VRV851971:VRV852020 WBR851971:WBR852020 WLN851971:WLN852020 WVJ851971:WVJ852020 B917507:B917556 IX917507:IX917556 ST917507:ST917556 ACP917507:ACP917556 AML917507:AML917556 AWH917507:AWH917556 BGD917507:BGD917556 BPZ917507:BPZ917556 BZV917507:BZV917556 CJR917507:CJR917556 CTN917507:CTN917556 DDJ917507:DDJ917556 DNF917507:DNF917556 DXB917507:DXB917556 EGX917507:EGX917556 EQT917507:EQT917556 FAP917507:FAP917556 FKL917507:FKL917556 FUH917507:FUH917556 GED917507:GED917556 GNZ917507:GNZ917556 GXV917507:GXV917556 HHR917507:HHR917556 HRN917507:HRN917556 IBJ917507:IBJ917556 ILF917507:ILF917556 IVB917507:IVB917556 JEX917507:JEX917556 JOT917507:JOT917556 JYP917507:JYP917556 KIL917507:KIL917556 KSH917507:KSH917556 LCD917507:LCD917556 LLZ917507:LLZ917556 LVV917507:LVV917556 MFR917507:MFR917556 MPN917507:MPN917556 MZJ917507:MZJ917556 NJF917507:NJF917556 NTB917507:NTB917556 OCX917507:OCX917556 OMT917507:OMT917556 OWP917507:OWP917556 PGL917507:PGL917556 PQH917507:PQH917556 QAD917507:QAD917556 QJZ917507:QJZ917556 QTV917507:QTV917556 RDR917507:RDR917556 RNN917507:RNN917556 RXJ917507:RXJ917556 SHF917507:SHF917556 SRB917507:SRB917556 TAX917507:TAX917556 TKT917507:TKT917556 TUP917507:TUP917556 UEL917507:UEL917556 UOH917507:UOH917556 UYD917507:UYD917556 VHZ917507:VHZ917556 VRV917507:VRV917556 WBR917507:WBR917556 WLN917507:WLN917556 WVJ917507:WVJ917556 B983043:B983092 IX983043:IX983092 ST983043:ST983092 ACP983043:ACP983092 AML983043:AML983092 AWH983043:AWH983092 BGD983043:BGD983092 BPZ983043:BPZ983092 BZV983043:BZV983092 CJR983043:CJR983092 CTN983043:CTN983092 DDJ983043:DDJ983092 DNF983043:DNF983092 DXB983043:DXB983092 EGX983043:EGX983092 EQT983043:EQT983092 FAP983043:FAP983092 FKL983043:FKL983092 FUH983043:FUH983092 GED983043:GED983092 GNZ983043:GNZ983092 GXV983043:GXV983092 HHR983043:HHR983092 HRN983043:HRN983092 IBJ983043:IBJ983092 ILF983043:ILF983092 IVB983043:IVB983092 JEX983043:JEX983092 JOT983043:JOT983092 JYP983043:JYP983092 KIL983043:KIL983092 KSH983043:KSH983092 LCD983043:LCD983092 LLZ983043:LLZ983092 LVV983043:LVV983092 MFR983043:MFR983092 MPN983043:MPN983092 MZJ983043:MZJ983092 NJF983043:NJF983092 NTB983043:NTB983092 OCX983043:OCX983092 OMT983043:OMT983092 OWP983043:OWP983092 PGL983043:PGL983092 PQH983043:PQH983092 QAD983043:QAD983092 QJZ983043:QJZ983092 QTV983043:QTV983092 RDR983043:RDR983092 RNN983043:RNN983092 RXJ983043:RXJ983092 SHF983043:SHF983092 SRB983043:SRB983092 TAX983043:TAX983092 TKT983043:TKT983092 TUP983043:TUP983092 UEL983043:UEL983092 UOH983043:UOH983092 UYD983043:UYD983092 VHZ983043:VHZ983092 VRV983043:VRV983092 WBR983043:WBR983092 WLN983043:WLN983092 WVJ983043:WVJ983092" xr:uid="{00000000-0002-0000-0100-000001000000}">
      <formula1>-99999.9999</formula1>
      <formula2>99999.9999</formula2>
    </dataValidation>
    <dataValidation type="list" allowBlank="1" showInputMessage="1" showErrorMessage="1" promptTitle="Confidence range" prompt="chose the required confidence range 95,450% oder 99,730% from the list." sqref="WVR983044:WVS983044 JF4:JG4 TB4:TC4 ACX4:ACY4 AMT4:AMU4 AWP4:AWQ4 BGL4:BGM4 BQH4:BQI4 CAD4:CAE4 CJZ4:CKA4 CTV4:CTW4 DDR4:DDS4 DNN4:DNO4 DXJ4:DXK4 EHF4:EHG4 ERB4:ERC4 FAX4:FAY4 FKT4:FKU4 FUP4:FUQ4 GEL4:GEM4 GOH4:GOI4 GYD4:GYE4 HHZ4:HIA4 HRV4:HRW4 IBR4:IBS4 ILN4:ILO4 IVJ4:IVK4 JFF4:JFG4 JPB4:JPC4 JYX4:JYY4 KIT4:KIU4 KSP4:KSQ4 LCL4:LCM4 LMH4:LMI4 LWD4:LWE4 MFZ4:MGA4 MPV4:MPW4 MZR4:MZS4 NJN4:NJO4 NTJ4:NTK4 ODF4:ODG4 ONB4:ONC4 OWX4:OWY4 PGT4:PGU4 PQP4:PQQ4 QAL4:QAM4 QKH4:QKI4 QUD4:QUE4 RDZ4:REA4 RNV4:RNW4 RXR4:RXS4 SHN4:SHO4 SRJ4:SRK4 TBF4:TBG4 TLB4:TLC4 TUX4:TUY4 UET4:UEU4 UOP4:UOQ4 UYL4:UYM4 VIH4:VII4 VSD4:VSE4 WBZ4:WCA4 WLV4:WLW4 WVR4:WVS4 J65540:K65540 JF65540:JG65540 TB65540:TC65540 ACX65540:ACY65540 AMT65540:AMU65540 AWP65540:AWQ65540 BGL65540:BGM65540 BQH65540:BQI65540 CAD65540:CAE65540 CJZ65540:CKA65540 CTV65540:CTW65540 DDR65540:DDS65540 DNN65540:DNO65540 DXJ65540:DXK65540 EHF65540:EHG65540 ERB65540:ERC65540 FAX65540:FAY65540 FKT65540:FKU65540 FUP65540:FUQ65540 GEL65540:GEM65540 GOH65540:GOI65540 GYD65540:GYE65540 HHZ65540:HIA65540 HRV65540:HRW65540 IBR65540:IBS65540 ILN65540:ILO65540 IVJ65540:IVK65540 JFF65540:JFG65540 JPB65540:JPC65540 JYX65540:JYY65540 KIT65540:KIU65540 KSP65540:KSQ65540 LCL65540:LCM65540 LMH65540:LMI65540 LWD65540:LWE65540 MFZ65540:MGA65540 MPV65540:MPW65540 MZR65540:MZS65540 NJN65540:NJO65540 NTJ65540:NTK65540 ODF65540:ODG65540 ONB65540:ONC65540 OWX65540:OWY65540 PGT65540:PGU65540 PQP65540:PQQ65540 QAL65540:QAM65540 QKH65540:QKI65540 QUD65540:QUE65540 RDZ65540:REA65540 RNV65540:RNW65540 RXR65540:RXS65540 SHN65540:SHO65540 SRJ65540:SRK65540 TBF65540:TBG65540 TLB65540:TLC65540 TUX65540:TUY65540 UET65540:UEU65540 UOP65540:UOQ65540 UYL65540:UYM65540 VIH65540:VII65540 VSD65540:VSE65540 WBZ65540:WCA65540 WLV65540:WLW65540 WVR65540:WVS65540 J131076:K131076 JF131076:JG131076 TB131076:TC131076 ACX131076:ACY131076 AMT131076:AMU131076 AWP131076:AWQ131076 BGL131076:BGM131076 BQH131076:BQI131076 CAD131076:CAE131076 CJZ131076:CKA131076 CTV131076:CTW131076 DDR131076:DDS131076 DNN131076:DNO131076 DXJ131076:DXK131076 EHF131076:EHG131076 ERB131076:ERC131076 FAX131076:FAY131076 FKT131076:FKU131076 FUP131076:FUQ131076 GEL131076:GEM131076 GOH131076:GOI131076 GYD131076:GYE131076 HHZ131076:HIA131076 HRV131076:HRW131076 IBR131076:IBS131076 ILN131076:ILO131076 IVJ131076:IVK131076 JFF131076:JFG131076 JPB131076:JPC131076 JYX131076:JYY131076 KIT131076:KIU131076 KSP131076:KSQ131076 LCL131076:LCM131076 LMH131076:LMI131076 LWD131076:LWE131076 MFZ131076:MGA131076 MPV131076:MPW131076 MZR131076:MZS131076 NJN131076:NJO131076 NTJ131076:NTK131076 ODF131076:ODG131076 ONB131076:ONC131076 OWX131076:OWY131076 PGT131076:PGU131076 PQP131076:PQQ131076 QAL131076:QAM131076 QKH131076:QKI131076 QUD131076:QUE131076 RDZ131076:REA131076 RNV131076:RNW131076 RXR131076:RXS131076 SHN131076:SHO131076 SRJ131076:SRK131076 TBF131076:TBG131076 TLB131076:TLC131076 TUX131076:TUY131076 UET131076:UEU131076 UOP131076:UOQ131076 UYL131076:UYM131076 VIH131076:VII131076 VSD131076:VSE131076 WBZ131076:WCA131076 WLV131076:WLW131076 WVR131076:WVS131076 J196612:K196612 JF196612:JG196612 TB196612:TC196612 ACX196612:ACY196612 AMT196612:AMU196612 AWP196612:AWQ196612 BGL196612:BGM196612 BQH196612:BQI196612 CAD196612:CAE196612 CJZ196612:CKA196612 CTV196612:CTW196612 DDR196612:DDS196612 DNN196612:DNO196612 DXJ196612:DXK196612 EHF196612:EHG196612 ERB196612:ERC196612 FAX196612:FAY196612 FKT196612:FKU196612 FUP196612:FUQ196612 GEL196612:GEM196612 GOH196612:GOI196612 GYD196612:GYE196612 HHZ196612:HIA196612 HRV196612:HRW196612 IBR196612:IBS196612 ILN196612:ILO196612 IVJ196612:IVK196612 JFF196612:JFG196612 JPB196612:JPC196612 JYX196612:JYY196612 KIT196612:KIU196612 KSP196612:KSQ196612 LCL196612:LCM196612 LMH196612:LMI196612 LWD196612:LWE196612 MFZ196612:MGA196612 MPV196612:MPW196612 MZR196612:MZS196612 NJN196612:NJO196612 NTJ196612:NTK196612 ODF196612:ODG196612 ONB196612:ONC196612 OWX196612:OWY196612 PGT196612:PGU196612 PQP196612:PQQ196612 QAL196612:QAM196612 QKH196612:QKI196612 QUD196612:QUE196612 RDZ196612:REA196612 RNV196612:RNW196612 RXR196612:RXS196612 SHN196612:SHO196612 SRJ196612:SRK196612 TBF196612:TBG196612 TLB196612:TLC196612 TUX196612:TUY196612 UET196612:UEU196612 UOP196612:UOQ196612 UYL196612:UYM196612 VIH196612:VII196612 VSD196612:VSE196612 WBZ196612:WCA196612 WLV196612:WLW196612 WVR196612:WVS196612 J262148:K262148 JF262148:JG262148 TB262148:TC262148 ACX262148:ACY262148 AMT262148:AMU262148 AWP262148:AWQ262148 BGL262148:BGM262148 BQH262148:BQI262148 CAD262148:CAE262148 CJZ262148:CKA262148 CTV262148:CTW262148 DDR262148:DDS262148 DNN262148:DNO262148 DXJ262148:DXK262148 EHF262148:EHG262148 ERB262148:ERC262148 FAX262148:FAY262148 FKT262148:FKU262148 FUP262148:FUQ262148 GEL262148:GEM262148 GOH262148:GOI262148 GYD262148:GYE262148 HHZ262148:HIA262148 HRV262148:HRW262148 IBR262148:IBS262148 ILN262148:ILO262148 IVJ262148:IVK262148 JFF262148:JFG262148 JPB262148:JPC262148 JYX262148:JYY262148 KIT262148:KIU262148 KSP262148:KSQ262148 LCL262148:LCM262148 LMH262148:LMI262148 LWD262148:LWE262148 MFZ262148:MGA262148 MPV262148:MPW262148 MZR262148:MZS262148 NJN262148:NJO262148 NTJ262148:NTK262148 ODF262148:ODG262148 ONB262148:ONC262148 OWX262148:OWY262148 PGT262148:PGU262148 PQP262148:PQQ262148 QAL262148:QAM262148 QKH262148:QKI262148 QUD262148:QUE262148 RDZ262148:REA262148 RNV262148:RNW262148 RXR262148:RXS262148 SHN262148:SHO262148 SRJ262148:SRK262148 TBF262148:TBG262148 TLB262148:TLC262148 TUX262148:TUY262148 UET262148:UEU262148 UOP262148:UOQ262148 UYL262148:UYM262148 VIH262148:VII262148 VSD262148:VSE262148 WBZ262148:WCA262148 WLV262148:WLW262148 WVR262148:WVS262148 J327684:K327684 JF327684:JG327684 TB327684:TC327684 ACX327684:ACY327684 AMT327684:AMU327684 AWP327684:AWQ327684 BGL327684:BGM327684 BQH327684:BQI327684 CAD327684:CAE327684 CJZ327684:CKA327684 CTV327684:CTW327684 DDR327684:DDS327684 DNN327684:DNO327684 DXJ327684:DXK327684 EHF327684:EHG327684 ERB327684:ERC327684 FAX327684:FAY327684 FKT327684:FKU327684 FUP327684:FUQ327684 GEL327684:GEM327684 GOH327684:GOI327684 GYD327684:GYE327684 HHZ327684:HIA327684 HRV327684:HRW327684 IBR327684:IBS327684 ILN327684:ILO327684 IVJ327684:IVK327684 JFF327684:JFG327684 JPB327684:JPC327684 JYX327684:JYY327684 KIT327684:KIU327684 KSP327684:KSQ327684 LCL327684:LCM327684 LMH327684:LMI327684 LWD327684:LWE327684 MFZ327684:MGA327684 MPV327684:MPW327684 MZR327684:MZS327684 NJN327684:NJO327684 NTJ327684:NTK327684 ODF327684:ODG327684 ONB327684:ONC327684 OWX327684:OWY327684 PGT327684:PGU327684 PQP327684:PQQ327684 QAL327684:QAM327684 QKH327684:QKI327684 QUD327684:QUE327684 RDZ327684:REA327684 RNV327684:RNW327684 RXR327684:RXS327684 SHN327684:SHO327684 SRJ327684:SRK327684 TBF327684:TBG327684 TLB327684:TLC327684 TUX327684:TUY327684 UET327684:UEU327684 UOP327684:UOQ327684 UYL327684:UYM327684 VIH327684:VII327684 VSD327684:VSE327684 WBZ327684:WCA327684 WLV327684:WLW327684 WVR327684:WVS327684 J393220:K393220 JF393220:JG393220 TB393220:TC393220 ACX393220:ACY393220 AMT393220:AMU393220 AWP393220:AWQ393220 BGL393220:BGM393220 BQH393220:BQI393220 CAD393220:CAE393220 CJZ393220:CKA393220 CTV393220:CTW393220 DDR393220:DDS393220 DNN393220:DNO393220 DXJ393220:DXK393220 EHF393220:EHG393220 ERB393220:ERC393220 FAX393220:FAY393220 FKT393220:FKU393220 FUP393220:FUQ393220 GEL393220:GEM393220 GOH393220:GOI393220 GYD393220:GYE393220 HHZ393220:HIA393220 HRV393220:HRW393220 IBR393220:IBS393220 ILN393220:ILO393220 IVJ393220:IVK393220 JFF393220:JFG393220 JPB393220:JPC393220 JYX393220:JYY393220 KIT393220:KIU393220 KSP393220:KSQ393220 LCL393220:LCM393220 LMH393220:LMI393220 LWD393220:LWE393220 MFZ393220:MGA393220 MPV393220:MPW393220 MZR393220:MZS393220 NJN393220:NJO393220 NTJ393220:NTK393220 ODF393220:ODG393220 ONB393220:ONC393220 OWX393220:OWY393220 PGT393220:PGU393220 PQP393220:PQQ393220 QAL393220:QAM393220 QKH393220:QKI393220 QUD393220:QUE393220 RDZ393220:REA393220 RNV393220:RNW393220 RXR393220:RXS393220 SHN393220:SHO393220 SRJ393220:SRK393220 TBF393220:TBG393220 TLB393220:TLC393220 TUX393220:TUY393220 UET393220:UEU393220 UOP393220:UOQ393220 UYL393220:UYM393220 VIH393220:VII393220 VSD393220:VSE393220 WBZ393220:WCA393220 WLV393220:WLW393220 WVR393220:WVS393220 J458756:K458756 JF458756:JG458756 TB458756:TC458756 ACX458756:ACY458756 AMT458756:AMU458756 AWP458756:AWQ458756 BGL458756:BGM458756 BQH458756:BQI458756 CAD458756:CAE458756 CJZ458756:CKA458756 CTV458756:CTW458756 DDR458756:DDS458756 DNN458756:DNO458756 DXJ458756:DXK458756 EHF458756:EHG458756 ERB458756:ERC458756 FAX458756:FAY458756 FKT458756:FKU458756 FUP458756:FUQ458756 GEL458756:GEM458756 GOH458756:GOI458756 GYD458756:GYE458756 HHZ458756:HIA458756 HRV458756:HRW458756 IBR458756:IBS458756 ILN458756:ILO458756 IVJ458756:IVK458756 JFF458756:JFG458756 JPB458756:JPC458756 JYX458756:JYY458756 KIT458756:KIU458756 KSP458756:KSQ458756 LCL458756:LCM458756 LMH458756:LMI458756 LWD458756:LWE458756 MFZ458756:MGA458756 MPV458756:MPW458756 MZR458756:MZS458756 NJN458756:NJO458756 NTJ458756:NTK458756 ODF458756:ODG458756 ONB458756:ONC458756 OWX458756:OWY458756 PGT458756:PGU458756 PQP458756:PQQ458756 QAL458756:QAM458756 QKH458756:QKI458756 QUD458756:QUE458756 RDZ458756:REA458756 RNV458756:RNW458756 RXR458756:RXS458756 SHN458756:SHO458756 SRJ458756:SRK458756 TBF458756:TBG458756 TLB458756:TLC458756 TUX458756:TUY458756 UET458756:UEU458756 UOP458756:UOQ458756 UYL458756:UYM458756 VIH458756:VII458756 VSD458756:VSE458756 WBZ458756:WCA458756 WLV458756:WLW458756 WVR458756:WVS458756 J524292:K524292 JF524292:JG524292 TB524292:TC524292 ACX524292:ACY524292 AMT524292:AMU524292 AWP524292:AWQ524292 BGL524292:BGM524292 BQH524292:BQI524292 CAD524292:CAE524292 CJZ524292:CKA524292 CTV524292:CTW524292 DDR524292:DDS524292 DNN524292:DNO524292 DXJ524292:DXK524292 EHF524292:EHG524292 ERB524292:ERC524292 FAX524292:FAY524292 FKT524292:FKU524292 FUP524292:FUQ524292 GEL524292:GEM524292 GOH524292:GOI524292 GYD524292:GYE524292 HHZ524292:HIA524292 HRV524292:HRW524292 IBR524292:IBS524292 ILN524292:ILO524292 IVJ524292:IVK524292 JFF524292:JFG524292 JPB524292:JPC524292 JYX524292:JYY524292 KIT524292:KIU524292 KSP524292:KSQ524292 LCL524292:LCM524292 LMH524292:LMI524292 LWD524292:LWE524292 MFZ524292:MGA524292 MPV524292:MPW524292 MZR524292:MZS524292 NJN524292:NJO524292 NTJ524292:NTK524292 ODF524292:ODG524292 ONB524292:ONC524292 OWX524292:OWY524292 PGT524292:PGU524292 PQP524292:PQQ524292 QAL524292:QAM524292 QKH524292:QKI524292 QUD524292:QUE524292 RDZ524292:REA524292 RNV524292:RNW524292 RXR524292:RXS524292 SHN524292:SHO524292 SRJ524292:SRK524292 TBF524292:TBG524292 TLB524292:TLC524292 TUX524292:TUY524292 UET524292:UEU524292 UOP524292:UOQ524292 UYL524292:UYM524292 VIH524292:VII524292 VSD524292:VSE524292 WBZ524292:WCA524292 WLV524292:WLW524292 WVR524292:WVS524292 J589828:K589828 JF589828:JG589828 TB589828:TC589828 ACX589828:ACY589828 AMT589828:AMU589828 AWP589828:AWQ589828 BGL589828:BGM589828 BQH589828:BQI589828 CAD589828:CAE589828 CJZ589828:CKA589828 CTV589828:CTW589828 DDR589828:DDS589828 DNN589828:DNO589828 DXJ589828:DXK589828 EHF589828:EHG589828 ERB589828:ERC589828 FAX589828:FAY589828 FKT589828:FKU589828 FUP589828:FUQ589828 GEL589828:GEM589828 GOH589828:GOI589828 GYD589828:GYE589828 HHZ589828:HIA589828 HRV589828:HRW589828 IBR589828:IBS589828 ILN589828:ILO589828 IVJ589828:IVK589828 JFF589828:JFG589828 JPB589828:JPC589828 JYX589828:JYY589828 KIT589828:KIU589828 KSP589828:KSQ589828 LCL589828:LCM589828 LMH589828:LMI589828 LWD589828:LWE589828 MFZ589828:MGA589828 MPV589828:MPW589828 MZR589828:MZS589828 NJN589828:NJO589828 NTJ589828:NTK589828 ODF589828:ODG589828 ONB589828:ONC589828 OWX589828:OWY589828 PGT589828:PGU589828 PQP589828:PQQ589828 QAL589828:QAM589828 QKH589828:QKI589828 QUD589828:QUE589828 RDZ589828:REA589828 RNV589828:RNW589828 RXR589828:RXS589828 SHN589828:SHO589828 SRJ589828:SRK589828 TBF589828:TBG589828 TLB589828:TLC589828 TUX589828:TUY589828 UET589828:UEU589828 UOP589828:UOQ589828 UYL589828:UYM589828 VIH589828:VII589828 VSD589828:VSE589828 WBZ589828:WCA589828 WLV589828:WLW589828 WVR589828:WVS589828 J655364:K655364 JF655364:JG655364 TB655364:TC655364 ACX655364:ACY655364 AMT655364:AMU655364 AWP655364:AWQ655364 BGL655364:BGM655364 BQH655364:BQI655364 CAD655364:CAE655364 CJZ655364:CKA655364 CTV655364:CTW655364 DDR655364:DDS655364 DNN655364:DNO655364 DXJ655364:DXK655364 EHF655364:EHG655364 ERB655364:ERC655364 FAX655364:FAY655364 FKT655364:FKU655364 FUP655364:FUQ655364 GEL655364:GEM655364 GOH655364:GOI655364 GYD655364:GYE655364 HHZ655364:HIA655364 HRV655364:HRW655364 IBR655364:IBS655364 ILN655364:ILO655364 IVJ655364:IVK655364 JFF655364:JFG655364 JPB655364:JPC655364 JYX655364:JYY655364 KIT655364:KIU655364 KSP655364:KSQ655364 LCL655364:LCM655364 LMH655364:LMI655364 LWD655364:LWE655364 MFZ655364:MGA655364 MPV655364:MPW655364 MZR655364:MZS655364 NJN655364:NJO655364 NTJ655364:NTK655364 ODF655364:ODG655364 ONB655364:ONC655364 OWX655364:OWY655364 PGT655364:PGU655364 PQP655364:PQQ655364 QAL655364:QAM655364 QKH655364:QKI655364 QUD655364:QUE655364 RDZ655364:REA655364 RNV655364:RNW655364 RXR655364:RXS655364 SHN655364:SHO655364 SRJ655364:SRK655364 TBF655364:TBG655364 TLB655364:TLC655364 TUX655364:TUY655364 UET655364:UEU655364 UOP655364:UOQ655364 UYL655364:UYM655364 VIH655364:VII655364 VSD655364:VSE655364 WBZ655364:WCA655364 WLV655364:WLW655364 WVR655364:WVS655364 J720900:K720900 JF720900:JG720900 TB720900:TC720900 ACX720900:ACY720900 AMT720900:AMU720900 AWP720900:AWQ720900 BGL720900:BGM720900 BQH720900:BQI720900 CAD720900:CAE720900 CJZ720900:CKA720900 CTV720900:CTW720900 DDR720900:DDS720900 DNN720900:DNO720900 DXJ720900:DXK720900 EHF720900:EHG720900 ERB720900:ERC720900 FAX720900:FAY720900 FKT720900:FKU720900 FUP720900:FUQ720900 GEL720900:GEM720900 GOH720900:GOI720900 GYD720900:GYE720900 HHZ720900:HIA720900 HRV720900:HRW720900 IBR720900:IBS720900 ILN720900:ILO720900 IVJ720900:IVK720900 JFF720900:JFG720900 JPB720900:JPC720900 JYX720900:JYY720900 KIT720900:KIU720900 KSP720900:KSQ720900 LCL720900:LCM720900 LMH720900:LMI720900 LWD720900:LWE720900 MFZ720900:MGA720900 MPV720900:MPW720900 MZR720900:MZS720900 NJN720900:NJO720900 NTJ720900:NTK720900 ODF720900:ODG720900 ONB720900:ONC720900 OWX720900:OWY720900 PGT720900:PGU720900 PQP720900:PQQ720900 QAL720900:QAM720900 QKH720900:QKI720900 QUD720900:QUE720900 RDZ720900:REA720900 RNV720900:RNW720900 RXR720900:RXS720900 SHN720900:SHO720900 SRJ720900:SRK720900 TBF720900:TBG720900 TLB720900:TLC720900 TUX720900:TUY720900 UET720900:UEU720900 UOP720900:UOQ720900 UYL720900:UYM720900 VIH720900:VII720900 VSD720900:VSE720900 WBZ720900:WCA720900 WLV720900:WLW720900 WVR720900:WVS720900 J786436:K786436 JF786436:JG786436 TB786436:TC786436 ACX786436:ACY786436 AMT786436:AMU786436 AWP786436:AWQ786436 BGL786436:BGM786436 BQH786436:BQI786436 CAD786436:CAE786436 CJZ786436:CKA786436 CTV786436:CTW786436 DDR786436:DDS786436 DNN786436:DNO786436 DXJ786436:DXK786436 EHF786436:EHG786436 ERB786436:ERC786436 FAX786436:FAY786436 FKT786436:FKU786436 FUP786436:FUQ786436 GEL786436:GEM786436 GOH786436:GOI786436 GYD786436:GYE786436 HHZ786436:HIA786436 HRV786436:HRW786436 IBR786436:IBS786436 ILN786436:ILO786436 IVJ786436:IVK786436 JFF786436:JFG786436 JPB786436:JPC786436 JYX786436:JYY786436 KIT786436:KIU786436 KSP786436:KSQ786436 LCL786436:LCM786436 LMH786436:LMI786436 LWD786436:LWE786436 MFZ786436:MGA786436 MPV786436:MPW786436 MZR786436:MZS786436 NJN786436:NJO786436 NTJ786436:NTK786436 ODF786436:ODG786436 ONB786436:ONC786436 OWX786436:OWY786436 PGT786436:PGU786436 PQP786436:PQQ786436 QAL786436:QAM786436 QKH786436:QKI786436 QUD786436:QUE786436 RDZ786436:REA786436 RNV786436:RNW786436 RXR786436:RXS786436 SHN786436:SHO786436 SRJ786436:SRK786436 TBF786436:TBG786436 TLB786436:TLC786436 TUX786436:TUY786436 UET786436:UEU786436 UOP786436:UOQ786436 UYL786436:UYM786436 VIH786436:VII786436 VSD786436:VSE786436 WBZ786436:WCA786436 WLV786436:WLW786436 WVR786436:WVS786436 J851972:K851972 JF851972:JG851972 TB851972:TC851972 ACX851972:ACY851972 AMT851972:AMU851972 AWP851972:AWQ851972 BGL851972:BGM851972 BQH851972:BQI851972 CAD851972:CAE851972 CJZ851972:CKA851972 CTV851972:CTW851972 DDR851972:DDS851972 DNN851972:DNO851972 DXJ851972:DXK851972 EHF851972:EHG851972 ERB851972:ERC851972 FAX851972:FAY851972 FKT851972:FKU851972 FUP851972:FUQ851972 GEL851972:GEM851972 GOH851972:GOI851972 GYD851972:GYE851972 HHZ851972:HIA851972 HRV851972:HRW851972 IBR851972:IBS851972 ILN851972:ILO851972 IVJ851972:IVK851972 JFF851972:JFG851972 JPB851972:JPC851972 JYX851972:JYY851972 KIT851972:KIU851972 KSP851972:KSQ851972 LCL851972:LCM851972 LMH851972:LMI851972 LWD851972:LWE851972 MFZ851972:MGA851972 MPV851972:MPW851972 MZR851972:MZS851972 NJN851972:NJO851972 NTJ851972:NTK851972 ODF851972:ODG851972 ONB851972:ONC851972 OWX851972:OWY851972 PGT851972:PGU851972 PQP851972:PQQ851972 QAL851972:QAM851972 QKH851972:QKI851972 QUD851972:QUE851972 RDZ851972:REA851972 RNV851972:RNW851972 RXR851972:RXS851972 SHN851972:SHO851972 SRJ851972:SRK851972 TBF851972:TBG851972 TLB851972:TLC851972 TUX851972:TUY851972 UET851972:UEU851972 UOP851972:UOQ851972 UYL851972:UYM851972 VIH851972:VII851972 VSD851972:VSE851972 WBZ851972:WCA851972 WLV851972:WLW851972 WVR851972:WVS851972 J917508:K917508 JF917508:JG917508 TB917508:TC917508 ACX917508:ACY917508 AMT917508:AMU917508 AWP917508:AWQ917508 BGL917508:BGM917508 BQH917508:BQI917508 CAD917508:CAE917508 CJZ917508:CKA917508 CTV917508:CTW917508 DDR917508:DDS917508 DNN917508:DNO917508 DXJ917508:DXK917508 EHF917508:EHG917508 ERB917508:ERC917508 FAX917508:FAY917508 FKT917508:FKU917508 FUP917508:FUQ917508 GEL917508:GEM917508 GOH917508:GOI917508 GYD917508:GYE917508 HHZ917508:HIA917508 HRV917508:HRW917508 IBR917508:IBS917508 ILN917508:ILO917508 IVJ917508:IVK917508 JFF917508:JFG917508 JPB917508:JPC917508 JYX917508:JYY917508 KIT917508:KIU917508 KSP917508:KSQ917508 LCL917508:LCM917508 LMH917508:LMI917508 LWD917508:LWE917508 MFZ917508:MGA917508 MPV917508:MPW917508 MZR917508:MZS917508 NJN917508:NJO917508 NTJ917508:NTK917508 ODF917508:ODG917508 ONB917508:ONC917508 OWX917508:OWY917508 PGT917508:PGU917508 PQP917508:PQQ917508 QAL917508:QAM917508 QKH917508:QKI917508 QUD917508:QUE917508 RDZ917508:REA917508 RNV917508:RNW917508 RXR917508:RXS917508 SHN917508:SHO917508 SRJ917508:SRK917508 TBF917508:TBG917508 TLB917508:TLC917508 TUX917508:TUY917508 UET917508:UEU917508 UOP917508:UOQ917508 UYL917508:UYM917508 VIH917508:VII917508 VSD917508:VSE917508 WBZ917508:WCA917508 WLV917508:WLW917508 WVR917508:WVS917508 J983044:K983044 JF983044:JG983044 TB983044:TC983044 ACX983044:ACY983044 AMT983044:AMU983044 AWP983044:AWQ983044 BGL983044:BGM983044 BQH983044:BQI983044 CAD983044:CAE983044 CJZ983044:CKA983044 CTV983044:CTW983044 DDR983044:DDS983044 DNN983044:DNO983044 DXJ983044:DXK983044 EHF983044:EHG983044 ERB983044:ERC983044 FAX983044:FAY983044 FKT983044:FKU983044 FUP983044:FUQ983044 GEL983044:GEM983044 GOH983044:GOI983044 GYD983044:GYE983044 HHZ983044:HIA983044 HRV983044:HRW983044 IBR983044:IBS983044 ILN983044:ILO983044 IVJ983044:IVK983044 JFF983044:JFG983044 JPB983044:JPC983044 JYX983044:JYY983044 KIT983044:KIU983044 KSP983044:KSQ983044 LCL983044:LCM983044 LMH983044:LMI983044 LWD983044:LWE983044 MFZ983044:MGA983044 MPV983044:MPW983044 MZR983044:MZS983044 NJN983044:NJO983044 NTJ983044:NTK983044 ODF983044:ODG983044 ONB983044:ONC983044 OWX983044:OWY983044 PGT983044:PGU983044 PQP983044:PQQ983044 QAL983044:QAM983044 QKH983044:QKI983044 QUD983044:QUE983044 RDZ983044:REA983044 RNV983044:RNW983044 RXR983044:RXS983044 SHN983044:SHO983044 SRJ983044:SRK983044 TBF983044:TBG983044 TLB983044:TLC983044 TUX983044:TUY983044 UET983044:UEU983044 UOP983044:UOQ983044 UYL983044:UYM983044 VIH983044:VII983044 VSD983044:VSE983044 WBZ983044:WCA983044 WLV983044:WLW983044" xr:uid="{00000000-0002-0000-0100-000002000000}">
      <formula1>$Y$50:$Y$51</formula1>
    </dataValidation>
    <dataValidation type="whole" allowBlank="1" showInputMessage="1" showErrorMessage="1" errorTitle="Prüfmittel-Nr." error="nur sechstellige Zahl gültig" sqref="WVR983045:WVS983045 JF5:JG5 TB5:TC5 ACX5:ACY5 AMT5:AMU5 AWP5:AWQ5 BGL5:BGM5 BQH5:BQI5 CAD5:CAE5 CJZ5:CKA5 CTV5:CTW5 DDR5:DDS5 DNN5:DNO5 DXJ5:DXK5 EHF5:EHG5 ERB5:ERC5 FAX5:FAY5 FKT5:FKU5 FUP5:FUQ5 GEL5:GEM5 GOH5:GOI5 GYD5:GYE5 HHZ5:HIA5 HRV5:HRW5 IBR5:IBS5 ILN5:ILO5 IVJ5:IVK5 JFF5:JFG5 JPB5:JPC5 JYX5:JYY5 KIT5:KIU5 KSP5:KSQ5 LCL5:LCM5 LMH5:LMI5 LWD5:LWE5 MFZ5:MGA5 MPV5:MPW5 MZR5:MZS5 NJN5:NJO5 NTJ5:NTK5 ODF5:ODG5 ONB5:ONC5 OWX5:OWY5 PGT5:PGU5 PQP5:PQQ5 QAL5:QAM5 QKH5:QKI5 QUD5:QUE5 RDZ5:REA5 RNV5:RNW5 RXR5:RXS5 SHN5:SHO5 SRJ5:SRK5 TBF5:TBG5 TLB5:TLC5 TUX5:TUY5 UET5:UEU5 UOP5:UOQ5 UYL5:UYM5 VIH5:VII5 VSD5:VSE5 WBZ5:WCA5 WLV5:WLW5 WVR5:WVS5 J65541:K65541 JF65541:JG65541 TB65541:TC65541 ACX65541:ACY65541 AMT65541:AMU65541 AWP65541:AWQ65541 BGL65541:BGM65541 BQH65541:BQI65541 CAD65541:CAE65541 CJZ65541:CKA65541 CTV65541:CTW65541 DDR65541:DDS65541 DNN65541:DNO65541 DXJ65541:DXK65541 EHF65541:EHG65541 ERB65541:ERC65541 FAX65541:FAY65541 FKT65541:FKU65541 FUP65541:FUQ65541 GEL65541:GEM65541 GOH65541:GOI65541 GYD65541:GYE65541 HHZ65541:HIA65541 HRV65541:HRW65541 IBR65541:IBS65541 ILN65541:ILO65541 IVJ65541:IVK65541 JFF65541:JFG65541 JPB65541:JPC65541 JYX65541:JYY65541 KIT65541:KIU65541 KSP65541:KSQ65541 LCL65541:LCM65541 LMH65541:LMI65541 LWD65541:LWE65541 MFZ65541:MGA65541 MPV65541:MPW65541 MZR65541:MZS65541 NJN65541:NJO65541 NTJ65541:NTK65541 ODF65541:ODG65541 ONB65541:ONC65541 OWX65541:OWY65541 PGT65541:PGU65541 PQP65541:PQQ65541 QAL65541:QAM65541 QKH65541:QKI65541 QUD65541:QUE65541 RDZ65541:REA65541 RNV65541:RNW65541 RXR65541:RXS65541 SHN65541:SHO65541 SRJ65541:SRK65541 TBF65541:TBG65541 TLB65541:TLC65541 TUX65541:TUY65541 UET65541:UEU65541 UOP65541:UOQ65541 UYL65541:UYM65541 VIH65541:VII65541 VSD65541:VSE65541 WBZ65541:WCA65541 WLV65541:WLW65541 WVR65541:WVS65541 J131077:K131077 JF131077:JG131077 TB131077:TC131077 ACX131077:ACY131077 AMT131077:AMU131077 AWP131077:AWQ131077 BGL131077:BGM131077 BQH131077:BQI131077 CAD131077:CAE131077 CJZ131077:CKA131077 CTV131077:CTW131077 DDR131077:DDS131077 DNN131077:DNO131077 DXJ131077:DXK131077 EHF131077:EHG131077 ERB131077:ERC131077 FAX131077:FAY131077 FKT131077:FKU131077 FUP131077:FUQ131077 GEL131077:GEM131077 GOH131077:GOI131077 GYD131077:GYE131077 HHZ131077:HIA131077 HRV131077:HRW131077 IBR131077:IBS131077 ILN131077:ILO131077 IVJ131077:IVK131077 JFF131077:JFG131077 JPB131077:JPC131077 JYX131077:JYY131077 KIT131077:KIU131077 KSP131077:KSQ131077 LCL131077:LCM131077 LMH131077:LMI131077 LWD131077:LWE131077 MFZ131077:MGA131077 MPV131077:MPW131077 MZR131077:MZS131077 NJN131077:NJO131077 NTJ131077:NTK131077 ODF131077:ODG131077 ONB131077:ONC131077 OWX131077:OWY131077 PGT131077:PGU131077 PQP131077:PQQ131077 QAL131077:QAM131077 QKH131077:QKI131077 QUD131077:QUE131077 RDZ131077:REA131077 RNV131077:RNW131077 RXR131077:RXS131077 SHN131077:SHO131077 SRJ131077:SRK131077 TBF131077:TBG131077 TLB131077:TLC131077 TUX131077:TUY131077 UET131077:UEU131077 UOP131077:UOQ131077 UYL131077:UYM131077 VIH131077:VII131077 VSD131077:VSE131077 WBZ131077:WCA131077 WLV131077:WLW131077 WVR131077:WVS131077 J196613:K196613 JF196613:JG196613 TB196613:TC196613 ACX196613:ACY196613 AMT196613:AMU196613 AWP196613:AWQ196613 BGL196613:BGM196613 BQH196613:BQI196613 CAD196613:CAE196613 CJZ196613:CKA196613 CTV196613:CTW196613 DDR196613:DDS196613 DNN196613:DNO196613 DXJ196613:DXK196613 EHF196613:EHG196613 ERB196613:ERC196613 FAX196613:FAY196613 FKT196613:FKU196613 FUP196613:FUQ196613 GEL196613:GEM196613 GOH196613:GOI196613 GYD196613:GYE196613 HHZ196613:HIA196613 HRV196613:HRW196613 IBR196613:IBS196613 ILN196613:ILO196613 IVJ196613:IVK196613 JFF196613:JFG196613 JPB196613:JPC196613 JYX196613:JYY196613 KIT196613:KIU196613 KSP196613:KSQ196613 LCL196613:LCM196613 LMH196613:LMI196613 LWD196613:LWE196613 MFZ196613:MGA196613 MPV196613:MPW196613 MZR196613:MZS196613 NJN196613:NJO196613 NTJ196613:NTK196613 ODF196613:ODG196613 ONB196613:ONC196613 OWX196613:OWY196613 PGT196613:PGU196613 PQP196613:PQQ196613 QAL196613:QAM196613 QKH196613:QKI196613 QUD196613:QUE196613 RDZ196613:REA196613 RNV196613:RNW196613 RXR196613:RXS196613 SHN196613:SHO196613 SRJ196613:SRK196613 TBF196613:TBG196613 TLB196613:TLC196613 TUX196613:TUY196613 UET196613:UEU196613 UOP196613:UOQ196613 UYL196613:UYM196613 VIH196613:VII196613 VSD196613:VSE196613 WBZ196613:WCA196613 WLV196613:WLW196613 WVR196613:WVS196613 J262149:K262149 JF262149:JG262149 TB262149:TC262149 ACX262149:ACY262149 AMT262149:AMU262149 AWP262149:AWQ262149 BGL262149:BGM262149 BQH262149:BQI262149 CAD262149:CAE262149 CJZ262149:CKA262149 CTV262149:CTW262149 DDR262149:DDS262149 DNN262149:DNO262149 DXJ262149:DXK262149 EHF262149:EHG262149 ERB262149:ERC262149 FAX262149:FAY262149 FKT262149:FKU262149 FUP262149:FUQ262149 GEL262149:GEM262149 GOH262149:GOI262149 GYD262149:GYE262149 HHZ262149:HIA262149 HRV262149:HRW262149 IBR262149:IBS262149 ILN262149:ILO262149 IVJ262149:IVK262149 JFF262149:JFG262149 JPB262149:JPC262149 JYX262149:JYY262149 KIT262149:KIU262149 KSP262149:KSQ262149 LCL262149:LCM262149 LMH262149:LMI262149 LWD262149:LWE262149 MFZ262149:MGA262149 MPV262149:MPW262149 MZR262149:MZS262149 NJN262149:NJO262149 NTJ262149:NTK262149 ODF262149:ODG262149 ONB262149:ONC262149 OWX262149:OWY262149 PGT262149:PGU262149 PQP262149:PQQ262149 QAL262149:QAM262149 QKH262149:QKI262149 QUD262149:QUE262149 RDZ262149:REA262149 RNV262149:RNW262149 RXR262149:RXS262149 SHN262149:SHO262149 SRJ262149:SRK262149 TBF262149:TBG262149 TLB262149:TLC262149 TUX262149:TUY262149 UET262149:UEU262149 UOP262149:UOQ262149 UYL262149:UYM262149 VIH262149:VII262149 VSD262149:VSE262149 WBZ262149:WCA262149 WLV262149:WLW262149 WVR262149:WVS262149 J327685:K327685 JF327685:JG327685 TB327685:TC327685 ACX327685:ACY327685 AMT327685:AMU327685 AWP327685:AWQ327685 BGL327685:BGM327685 BQH327685:BQI327685 CAD327685:CAE327685 CJZ327685:CKA327685 CTV327685:CTW327685 DDR327685:DDS327685 DNN327685:DNO327685 DXJ327685:DXK327685 EHF327685:EHG327685 ERB327685:ERC327685 FAX327685:FAY327685 FKT327685:FKU327685 FUP327685:FUQ327685 GEL327685:GEM327685 GOH327685:GOI327685 GYD327685:GYE327685 HHZ327685:HIA327685 HRV327685:HRW327685 IBR327685:IBS327685 ILN327685:ILO327685 IVJ327685:IVK327685 JFF327685:JFG327685 JPB327685:JPC327685 JYX327685:JYY327685 KIT327685:KIU327685 KSP327685:KSQ327685 LCL327685:LCM327685 LMH327685:LMI327685 LWD327685:LWE327685 MFZ327685:MGA327685 MPV327685:MPW327685 MZR327685:MZS327685 NJN327685:NJO327685 NTJ327685:NTK327685 ODF327685:ODG327685 ONB327685:ONC327685 OWX327685:OWY327685 PGT327685:PGU327685 PQP327685:PQQ327685 QAL327685:QAM327685 QKH327685:QKI327685 QUD327685:QUE327685 RDZ327685:REA327685 RNV327685:RNW327685 RXR327685:RXS327685 SHN327685:SHO327685 SRJ327685:SRK327685 TBF327685:TBG327685 TLB327685:TLC327685 TUX327685:TUY327685 UET327685:UEU327685 UOP327685:UOQ327685 UYL327685:UYM327685 VIH327685:VII327685 VSD327685:VSE327685 WBZ327685:WCA327685 WLV327685:WLW327685 WVR327685:WVS327685 J393221:K393221 JF393221:JG393221 TB393221:TC393221 ACX393221:ACY393221 AMT393221:AMU393221 AWP393221:AWQ393221 BGL393221:BGM393221 BQH393221:BQI393221 CAD393221:CAE393221 CJZ393221:CKA393221 CTV393221:CTW393221 DDR393221:DDS393221 DNN393221:DNO393221 DXJ393221:DXK393221 EHF393221:EHG393221 ERB393221:ERC393221 FAX393221:FAY393221 FKT393221:FKU393221 FUP393221:FUQ393221 GEL393221:GEM393221 GOH393221:GOI393221 GYD393221:GYE393221 HHZ393221:HIA393221 HRV393221:HRW393221 IBR393221:IBS393221 ILN393221:ILO393221 IVJ393221:IVK393221 JFF393221:JFG393221 JPB393221:JPC393221 JYX393221:JYY393221 KIT393221:KIU393221 KSP393221:KSQ393221 LCL393221:LCM393221 LMH393221:LMI393221 LWD393221:LWE393221 MFZ393221:MGA393221 MPV393221:MPW393221 MZR393221:MZS393221 NJN393221:NJO393221 NTJ393221:NTK393221 ODF393221:ODG393221 ONB393221:ONC393221 OWX393221:OWY393221 PGT393221:PGU393221 PQP393221:PQQ393221 QAL393221:QAM393221 QKH393221:QKI393221 QUD393221:QUE393221 RDZ393221:REA393221 RNV393221:RNW393221 RXR393221:RXS393221 SHN393221:SHO393221 SRJ393221:SRK393221 TBF393221:TBG393221 TLB393221:TLC393221 TUX393221:TUY393221 UET393221:UEU393221 UOP393221:UOQ393221 UYL393221:UYM393221 VIH393221:VII393221 VSD393221:VSE393221 WBZ393221:WCA393221 WLV393221:WLW393221 WVR393221:WVS393221 J458757:K458757 JF458757:JG458757 TB458757:TC458757 ACX458757:ACY458757 AMT458757:AMU458757 AWP458757:AWQ458757 BGL458757:BGM458757 BQH458757:BQI458757 CAD458757:CAE458757 CJZ458757:CKA458757 CTV458757:CTW458757 DDR458757:DDS458757 DNN458757:DNO458757 DXJ458757:DXK458757 EHF458757:EHG458757 ERB458757:ERC458757 FAX458757:FAY458757 FKT458757:FKU458757 FUP458757:FUQ458757 GEL458757:GEM458757 GOH458757:GOI458757 GYD458757:GYE458757 HHZ458757:HIA458757 HRV458757:HRW458757 IBR458757:IBS458757 ILN458757:ILO458757 IVJ458757:IVK458757 JFF458757:JFG458757 JPB458757:JPC458757 JYX458757:JYY458757 KIT458757:KIU458757 KSP458757:KSQ458757 LCL458757:LCM458757 LMH458757:LMI458757 LWD458757:LWE458757 MFZ458757:MGA458757 MPV458757:MPW458757 MZR458757:MZS458757 NJN458757:NJO458757 NTJ458757:NTK458757 ODF458757:ODG458757 ONB458757:ONC458757 OWX458757:OWY458757 PGT458757:PGU458757 PQP458757:PQQ458757 QAL458757:QAM458757 QKH458757:QKI458757 QUD458757:QUE458757 RDZ458757:REA458757 RNV458757:RNW458757 RXR458757:RXS458757 SHN458757:SHO458757 SRJ458757:SRK458757 TBF458757:TBG458757 TLB458757:TLC458757 TUX458757:TUY458757 UET458757:UEU458757 UOP458757:UOQ458757 UYL458757:UYM458757 VIH458757:VII458757 VSD458757:VSE458757 WBZ458757:WCA458757 WLV458757:WLW458757 WVR458757:WVS458757 J524293:K524293 JF524293:JG524293 TB524293:TC524293 ACX524293:ACY524293 AMT524293:AMU524293 AWP524293:AWQ524293 BGL524293:BGM524293 BQH524293:BQI524293 CAD524293:CAE524293 CJZ524293:CKA524293 CTV524293:CTW524293 DDR524293:DDS524293 DNN524293:DNO524293 DXJ524293:DXK524293 EHF524293:EHG524293 ERB524293:ERC524293 FAX524293:FAY524293 FKT524293:FKU524293 FUP524293:FUQ524293 GEL524293:GEM524293 GOH524293:GOI524293 GYD524293:GYE524293 HHZ524293:HIA524293 HRV524293:HRW524293 IBR524293:IBS524293 ILN524293:ILO524293 IVJ524293:IVK524293 JFF524293:JFG524293 JPB524293:JPC524293 JYX524293:JYY524293 KIT524293:KIU524293 KSP524293:KSQ524293 LCL524293:LCM524293 LMH524293:LMI524293 LWD524293:LWE524293 MFZ524293:MGA524293 MPV524293:MPW524293 MZR524293:MZS524293 NJN524293:NJO524293 NTJ524293:NTK524293 ODF524293:ODG524293 ONB524293:ONC524293 OWX524293:OWY524293 PGT524293:PGU524293 PQP524293:PQQ524293 QAL524293:QAM524293 QKH524293:QKI524293 QUD524293:QUE524293 RDZ524293:REA524293 RNV524293:RNW524293 RXR524293:RXS524293 SHN524293:SHO524293 SRJ524293:SRK524293 TBF524293:TBG524293 TLB524293:TLC524293 TUX524293:TUY524293 UET524293:UEU524293 UOP524293:UOQ524293 UYL524293:UYM524293 VIH524293:VII524293 VSD524293:VSE524293 WBZ524293:WCA524293 WLV524293:WLW524293 WVR524293:WVS524293 J589829:K589829 JF589829:JG589829 TB589829:TC589829 ACX589829:ACY589829 AMT589829:AMU589829 AWP589829:AWQ589829 BGL589829:BGM589829 BQH589829:BQI589829 CAD589829:CAE589829 CJZ589829:CKA589829 CTV589829:CTW589829 DDR589829:DDS589829 DNN589829:DNO589829 DXJ589829:DXK589829 EHF589829:EHG589829 ERB589829:ERC589829 FAX589829:FAY589829 FKT589829:FKU589829 FUP589829:FUQ589829 GEL589829:GEM589829 GOH589829:GOI589829 GYD589829:GYE589829 HHZ589829:HIA589829 HRV589829:HRW589829 IBR589829:IBS589829 ILN589829:ILO589829 IVJ589829:IVK589829 JFF589829:JFG589829 JPB589829:JPC589829 JYX589829:JYY589829 KIT589829:KIU589829 KSP589829:KSQ589829 LCL589829:LCM589829 LMH589829:LMI589829 LWD589829:LWE589829 MFZ589829:MGA589829 MPV589829:MPW589829 MZR589829:MZS589829 NJN589829:NJO589829 NTJ589829:NTK589829 ODF589829:ODG589829 ONB589829:ONC589829 OWX589829:OWY589829 PGT589829:PGU589829 PQP589829:PQQ589829 QAL589829:QAM589829 QKH589829:QKI589829 QUD589829:QUE589829 RDZ589829:REA589829 RNV589829:RNW589829 RXR589829:RXS589829 SHN589829:SHO589829 SRJ589829:SRK589829 TBF589829:TBG589829 TLB589829:TLC589829 TUX589829:TUY589829 UET589829:UEU589829 UOP589829:UOQ589829 UYL589829:UYM589829 VIH589829:VII589829 VSD589829:VSE589829 WBZ589829:WCA589829 WLV589829:WLW589829 WVR589829:WVS589829 J655365:K655365 JF655365:JG655365 TB655365:TC655365 ACX655365:ACY655365 AMT655365:AMU655365 AWP655365:AWQ655365 BGL655365:BGM655365 BQH655365:BQI655365 CAD655365:CAE655365 CJZ655365:CKA655365 CTV655365:CTW655365 DDR655365:DDS655365 DNN655365:DNO655365 DXJ655365:DXK655365 EHF655365:EHG655365 ERB655365:ERC655365 FAX655365:FAY655365 FKT655365:FKU655365 FUP655365:FUQ655365 GEL655365:GEM655365 GOH655365:GOI655365 GYD655365:GYE655365 HHZ655365:HIA655365 HRV655365:HRW655365 IBR655365:IBS655365 ILN655365:ILO655365 IVJ655365:IVK655365 JFF655365:JFG655365 JPB655365:JPC655365 JYX655365:JYY655365 KIT655365:KIU655365 KSP655365:KSQ655365 LCL655365:LCM655365 LMH655365:LMI655365 LWD655365:LWE655365 MFZ655365:MGA655365 MPV655365:MPW655365 MZR655365:MZS655365 NJN655365:NJO655365 NTJ655365:NTK655365 ODF655365:ODG655365 ONB655365:ONC655365 OWX655365:OWY655365 PGT655365:PGU655365 PQP655365:PQQ655365 QAL655365:QAM655365 QKH655365:QKI655365 QUD655365:QUE655365 RDZ655365:REA655365 RNV655365:RNW655365 RXR655365:RXS655365 SHN655365:SHO655365 SRJ655365:SRK655365 TBF655365:TBG655365 TLB655365:TLC655365 TUX655365:TUY655365 UET655365:UEU655365 UOP655365:UOQ655365 UYL655365:UYM655365 VIH655365:VII655365 VSD655365:VSE655365 WBZ655365:WCA655365 WLV655365:WLW655365 WVR655365:WVS655365 J720901:K720901 JF720901:JG720901 TB720901:TC720901 ACX720901:ACY720901 AMT720901:AMU720901 AWP720901:AWQ720901 BGL720901:BGM720901 BQH720901:BQI720901 CAD720901:CAE720901 CJZ720901:CKA720901 CTV720901:CTW720901 DDR720901:DDS720901 DNN720901:DNO720901 DXJ720901:DXK720901 EHF720901:EHG720901 ERB720901:ERC720901 FAX720901:FAY720901 FKT720901:FKU720901 FUP720901:FUQ720901 GEL720901:GEM720901 GOH720901:GOI720901 GYD720901:GYE720901 HHZ720901:HIA720901 HRV720901:HRW720901 IBR720901:IBS720901 ILN720901:ILO720901 IVJ720901:IVK720901 JFF720901:JFG720901 JPB720901:JPC720901 JYX720901:JYY720901 KIT720901:KIU720901 KSP720901:KSQ720901 LCL720901:LCM720901 LMH720901:LMI720901 LWD720901:LWE720901 MFZ720901:MGA720901 MPV720901:MPW720901 MZR720901:MZS720901 NJN720901:NJO720901 NTJ720901:NTK720901 ODF720901:ODG720901 ONB720901:ONC720901 OWX720901:OWY720901 PGT720901:PGU720901 PQP720901:PQQ720901 QAL720901:QAM720901 QKH720901:QKI720901 QUD720901:QUE720901 RDZ720901:REA720901 RNV720901:RNW720901 RXR720901:RXS720901 SHN720901:SHO720901 SRJ720901:SRK720901 TBF720901:TBG720901 TLB720901:TLC720901 TUX720901:TUY720901 UET720901:UEU720901 UOP720901:UOQ720901 UYL720901:UYM720901 VIH720901:VII720901 VSD720901:VSE720901 WBZ720901:WCA720901 WLV720901:WLW720901 WVR720901:WVS720901 J786437:K786437 JF786437:JG786437 TB786437:TC786437 ACX786437:ACY786437 AMT786437:AMU786437 AWP786437:AWQ786437 BGL786437:BGM786437 BQH786437:BQI786437 CAD786437:CAE786437 CJZ786437:CKA786437 CTV786437:CTW786437 DDR786437:DDS786437 DNN786437:DNO786437 DXJ786437:DXK786437 EHF786437:EHG786437 ERB786437:ERC786437 FAX786437:FAY786437 FKT786437:FKU786437 FUP786437:FUQ786437 GEL786437:GEM786437 GOH786437:GOI786437 GYD786437:GYE786437 HHZ786437:HIA786437 HRV786437:HRW786437 IBR786437:IBS786437 ILN786437:ILO786437 IVJ786437:IVK786437 JFF786437:JFG786437 JPB786437:JPC786437 JYX786437:JYY786437 KIT786437:KIU786437 KSP786437:KSQ786437 LCL786437:LCM786437 LMH786437:LMI786437 LWD786437:LWE786437 MFZ786437:MGA786437 MPV786437:MPW786437 MZR786437:MZS786437 NJN786437:NJO786437 NTJ786437:NTK786437 ODF786437:ODG786437 ONB786437:ONC786437 OWX786437:OWY786437 PGT786437:PGU786437 PQP786437:PQQ786437 QAL786437:QAM786437 QKH786437:QKI786437 QUD786437:QUE786437 RDZ786437:REA786437 RNV786437:RNW786437 RXR786437:RXS786437 SHN786437:SHO786437 SRJ786437:SRK786437 TBF786437:TBG786437 TLB786437:TLC786437 TUX786437:TUY786437 UET786437:UEU786437 UOP786437:UOQ786437 UYL786437:UYM786437 VIH786437:VII786437 VSD786437:VSE786437 WBZ786437:WCA786437 WLV786437:WLW786437 WVR786437:WVS786437 J851973:K851973 JF851973:JG851973 TB851973:TC851973 ACX851973:ACY851973 AMT851973:AMU851973 AWP851973:AWQ851973 BGL851973:BGM851973 BQH851973:BQI851973 CAD851973:CAE851973 CJZ851973:CKA851973 CTV851973:CTW851973 DDR851973:DDS851973 DNN851973:DNO851973 DXJ851973:DXK851973 EHF851973:EHG851973 ERB851973:ERC851973 FAX851973:FAY851973 FKT851973:FKU851973 FUP851973:FUQ851973 GEL851973:GEM851973 GOH851973:GOI851973 GYD851973:GYE851973 HHZ851973:HIA851973 HRV851973:HRW851973 IBR851973:IBS851973 ILN851973:ILO851973 IVJ851973:IVK851973 JFF851973:JFG851973 JPB851973:JPC851973 JYX851973:JYY851973 KIT851973:KIU851973 KSP851973:KSQ851973 LCL851973:LCM851973 LMH851973:LMI851973 LWD851973:LWE851973 MFZ851973:MGA851973 MPV851973:MPW851973 MZR851973:MZS851973 NJN851973:NJO851973 NTJ851973:NTK851973 ODF851973:ODG851973 ONB851973:ONC851973 OWX851973:OWY851973 PGT851973:PGU851973 PQP851973:PQQ851973 QAL851973:QAM851973 QKH851973:QKI851973 QUD851973:QUE851973 RDZ851973:REA851973 RNV851973:RNW851973 RXR851973:RXS851973 SHN851973:SHO851973 SRJ851973:SRK851973 TBF851973:TBG851973 TLB851973:TLC851973 TUX851973:TUY851973 UET851973:UEU851973 UOP851973:UOQ851973 UYL851973:UYM851973 VIH851973:VII851973 VSD851973:VSE851973 WBZ851973:WCA851973 WLV851973:WLW851973 WVR851973:WVS851973 J917509:K917509 JF917509:JG917509 TB917509:TC917509 ACX917509:ACY917509 AMT917509:AMU917509 AWP917509:AWQ917509 BGL917509:BGM917509 BQH917509:BQI917509 CAD917509:CAE917509 CJZ917509:CKA917509 CTV917509:CTW917509 DDR917509:DDS917509 DNN917509:DNO917509 DXJ917509:DXK917509 EHF917509:EHG917509 ERB917509:ERC917509 FAX917509:FAY917509 FKT917509:FKU917509 FUP917509:FUQ917509 GEL917509:GEM917509 GOH917509:GOI917509 GYD917509:GYE917509 HHZ917509:HIA917509 HRV917509:HRW917509 IBR917509:IBS917509 ILN917509:ILO917509 IVJ917509:IVK917509 JFF917509:JFG917509 JPB917509:JPC917509 JYX917509:JYY917509 KIT917509:KIU917509 KSP917509:KSQ917509 LCL917509:LCM917509 LMH917509:LMI917509 LWD917509:LWE917509 MFZ917509:MGA917509 MPV917509:MPW917509 MZR917509:MZS917509 NJN917509:NJO917509 NTJ917509:NTK917509 ODF917509:ODG917509 ONB917509:ONC917509 OWX917509:OWY917509 PGT917509:PGU917509 PQP917509:PQQ917509 QAL917509:QAM917509 QKH917509:QKI917509 QUD917509:QUE917509 RDZ917509:REA917509 RNV917509:RNW917509 RXR917509:RXS917509 SHN917509:SHO917509 SRJ917509:SRK917509 TBF917509:TBG917509 TLB917509:TLC917509 TUX917509:TUY917509 UET917509:UEU917509 UOP917509:UOQ917509 UYL917509:UYM917509 VIH917509:VII917509 VSD917509:VSE917509 WBZ917509:WCA917509 WLV917509:WLW917509 WVR917509:WVS917509 J983045:K983045 JF983045:JG983045 TB983045:TC983045 ACX983045:ACY983045 AMT983045:AMU983045 AWP983045:AWQ983045 BGL983045:BGM983045 BQH983045:BQI983045 CAD983045:CAE983045 CJZ983045:CKA983045 CTV983045:CTW983045 DDR983045:DDS983045 DNN983045:DNO983045 DXJ983045:DXK983045 EHF983045:EHG983045 ERB983045:ERC983045 FAX983045:FAY983045 FKT983045:FKU983045 FUP983045:FUQ983045 GEL983045:GEM983045 GOH983045:GOI983045 GYD983045:GYE983045 HHZ983045:HIA983045 HRV983045:HRW983045 IBR983045:IBS983045 ILN983045:ILO983045 IVJ983045:IVK983045 JFF983045:JFG983045 JPB983045:JPC983045 JYX983045:JYY983045 KIT983045:KIU983045 KSP983045:KSQ983045 LCL983045:LCM983045 LMH983045:LMI983045 LWD983045:LWE983045 MFZ983045:MGA983045 MPV983045:MPW983045 MZR983045:MZS983045 NJN983045:NJO983045 NTJ983045:NTK983045 ODF983045:ODG983045 ONB983045:ONC983045 OWX983045:OWY983045 PGT983045:PGU983045 PQP983045:PQQ983045 QAL983045:QAM983045 QKH983045:QKI983045 QUD983045:QUE983045 RDZ983045:REA983045 RNV983045:RNW983045 RXR983045:RXS983045 SHN983045:SHO983045 SRJ983045:SRK983045 TBF983045:TBG983045 TLB983045:TLC983045 TUX983045:TUY983045 UET983045:UEU983045 UOP983045:UOQ983045 UYL983045:UYM983045 VIH983045:VII983045 VSD983045:VSE983045 WBZ983045:WCA983045 WLV983045:WLW983045" xr:uid="{00000000-0002-0000-0100-000003000000}">
      <formula1>0</formula1>
      <formula2>999999</formula2>
    </dataValidation>
    <dataValidation type="decimal" allowBlank="1" showInputMessage="1" showErrorMessage="1" errorTitle="obere Toleranz" error="positive Zahl eingeben" promptTitle="obere Toleranz" prompt="positive Zahl eingeben" sqref="WVZ983048 JN8 TJ8 ADF8 ANB8 AWX8 BGT8 BQP8 CAL8 CKH8 CUD8 DDZ8 DNV8 DXR8 EHN8 ERJ8 FBF8 FLB8 FUX8 GET8 GOP8 GYL8 HIH8 HSD8 IBZ8 ILV8 IVR8 JFN8 JPJ8 JZF8 KJB8 KSX8 LCT8 LMP8 LWL8 MGH8 MQD8 MZZ8 NJV8 NTR8 ODN8 ONJ8 OXF8 PHB8 PQX8 QAT8 QKP8 QUL8 REH8 ROD8 RXZ8 SHV8 SRR8 TBN8 TLJ8 TVF8 UFB8 UOX8 UYT8 VIP8 VSL8 WCH8 WMD8 WVZ8 R65544 JN65544 TJ65544 ADF65544 ANB65544 AWX65544 BGT65544 BQP65544 CAL65544 CKH65544 CUD65544 DDZ65544 DNV65544 DXR65544 EHN65544 ERJ65544 FBF65544 FLB65544 FUX65544 GET65544 GOP65544 GYL65544 HIH65544 HSD65544 IBZ65544 ILV65544 IVR65544 JFN65544 JPJ65544 JZF65544 KJB65544 KSX65544 LCT65544 LMP65544 LWL65544 MGH65544 MQD65544 MZZ65544 NJV65544 NTR65544 ODN65544 ONJ65544 OXF65544 PHB65544 PQX65544 QAT65544 QKP65544 QUL65544 REH65544 ROD65544 RXZ65544 SHV65544 SRR65544 TBN65544 TLJ65544 TVF65544 UFB65544 UOX65544 UYT65544 VIP65544 VSL65544 WCH65544 WMD65544 WVZ65544 R131080 JN131080 TJ131080 ADF131080 ANB131080 AWX131080 BGT131080 BQP131080 CAL131080 CKH131080 CUD131080 DDZ131080 DNV131080 DXR131080 EHN131080 ERJ131080 FBF131080 FLB131080 FUX131080 GET131080 GOP131080 GYL131080 HIH131080 HSD131080 IBZ131080 ILV131080 IVR131080 JFN131080 JPJ131080 JZF131080 KJB131080 KSX131080 LCT131080 LMP131080 LWL131080 MGH131080 MQD131080 MZZ131080 NJV131080 NTR131080 ODN131080 ONJ131080 OXF131080 PHB131080 PQX131080 QAT131080 QKP131080 QUL131080 REH131080 ROD131080 RXZ131080 SHV131080 SRR131080 TBN131080 TLJ131080 TVF131080 UFB131080 UOX131080 UYT131080 VIP131080 VSL131080 WCH131080 WMD131080 WVZ131080 R196616 JN196616 TJ196616 ADF196616 ANB196616 AWX196616 BGT196616 BQP196616 CAL196616 CKH196616 CUD196616 DDZ196616 DNV196616 DXR196616 EHN196616 ERJ196616 FBF196616 FLB196616 FUX196616 GET196616 GOP196616 GYL196616 HIH196616 HSD196616 IBZ196616 ILV196616 IVR196616 JFN196616 JPJ196616 JZF196616 KJB196616 KSX196616 LCT196616 LMP196616 LWL196616 MGH196616 MQD196616 MZZ196616 NJV196616 NTR196616 ODN196616 ONJ196616 OXF196616 PHB196616 PQX196616 QAT196616 QKP196616 QUL196616 REH196616 ROD196616 RXZ196616 SHV196616 SRR196616 TBN196616 TLJ196616 TVF196616 UFB196616 UOX196616 UYT196616 VIP196616 VSL196616 WCH196616 WMD196616 WVZ196616 R262152 JN262152 TJ262152 ADF262152 ANB262152 AWX262152 BGT262152 BQP262152 CAL262152 CKH262152 CUD262152 DDZ262152 DNV262152 DXR262152 EHN262152 ERJ262152 FBF262152 FLB262152 FUX262152 GET262152 GOP262152 GYL262152 HIH262152 HSD262152 IBZ262152 ILV262152 IVR262152 JFN262152 JPJ262152 JZF262152 KJB262152 KSX262152 LCT262152 LMP262152 LWL262152 MGH262152 MQD262152 MZZ262152 NJV262152 NTR262152 ODN262152 ONJ262152 OXF262152 PHB262152 PQX262152 QAT262152 QKP262152 QUL262152 REH262152 ROD262152 RXZ262152 SHV262152 SRR262152 TBN262152 TLJ262152 TVF262152 UFB262152 UOX262152 UYT262152 VIP262152 VSL262152 WCH262152 WMD262152 WVZ262152 R327688 JN327688 TJ327688 ADF327688 ANB327688 AWX327688 BGT327688 BQP327688 CAL327688 CKH327688 CUD327688 DDZ327688 DNV327688 DXR327688 EHN327688 ERJ327688 FBF327688 FLB327688 FUX327688 GET327688 GOP327688 GYL327688 HIH327688 HSD327688 IBZ327688 ILV327688 IVR327688 JFN327688 JPJ327688 JZF327688 KJB327688 KSX327688 LCT327688 LMP327688 LWL327688 MGH327688 MQD327688 MZZ327688 NJV327688 NTR327688 ODN327688 ONJ327688 OXF327688 PHB327688 PQX327688 QAT327688 QKP327688 QUL327688 REH327688 ROD327688 RXZ327688 SHV327688 SRR327688 TBN327688 TLJ327688 TVF327688 UFB327688 UOX327688 UYT327688 VIP327688 VSL327688 WCH327688 WMD327688 WVZ327688 R393224 JN393224 TJ393224 ADF393224 ANB393224 AWX393224 BGT393224 BQP393224 CAL393224 CKH393224 CUD393224 DDZ393224 DNV393224 DXR393224 EHN393224 ERJ393224 FBF393224 FLB393224 FUX393224 GET393224 GOP393224 GYL393224 HIH393224 HSD393224 IBZ393224 ILV393224 IVR393224 JFN393224 JPJ393224 JZF393224 KJB393224 KSX393224 LCT393224 LMP393224 LWL393224 MGH393224 MQD393224 MZZ393224 NJV393224 NTR393224 ODN393224 ONJ393224 OXF393224 PHB393224 PQX393224 QAT393224 QKP393224 QUL393224 REH393224 ROD393224 RXZ393224 SHV393224 SRR393224 TBN393224 TLJ393224 TVF393224 UFB393224 UOX393224 UYT393224 VIP393224 VSL393224 WCH393224 WMD393224 WVZ393224 R458760 JN458760 TJ458760 ADF458760 ANB458760 AWX458760 BGT458760 BQP458760 CAL458760 CKH458760 CUD458760 DDZ458760 DNV458760 DXR458760 EHN458760 ERJ458760 FBF458760 FLB458760 FUX458760 GET458760 GOP458760 GYL458760 HIH458760 HSD458760 IBZ458760 ILV458760 IVR458760 JFN458760 JPJ458760 JZF458760 KJB458760 KSX458760 LCT458760 LMP458760 LWL458760 MGH458760 MQD458760 MZZ458760 NJV458760 NTR458760 ODN458760 ONJ458760 OXF458760 PHB458760 PQX458760 QAT458760 QKP458760 QUL458760 REH458760 ROD458760 RXZ458760 SHV458760 SRR458760 TBN458760 TLJ458760 TVF458760 UFB458760 UOX458760 UYT458760 VIP458760 VSL458760 WCH458760 WMD458760 WVZ458760 R524296 JN524296 TJ524296 ADF524296 ANB524296 AWX524296 BGT524296 BQP524296 CAL524296 CKH524296 CUD524296 DDZ524296 DNV524296 DXR524296 EHN524296 ERJ524296 FBF524296 FLB524296 FUX524296 GET524296 GOP524296 GYL524296 HIH524296 HSD524296 IBZ524296 ILV524296 IVR524296 JFN524296 JPJ524296 JZF524296 KJB524296 KSX524296 LCT524296 LMP524296 LWL524296 MGH524296 MQD524296 MZZ524296 NJV524296 NTR524296 ODN524296 ONJ524296 OXF524296 PHB524296 PQX524296 QAT524296 QKP524296 QUL524296 REH524296 ROD524296 RXZ524296 SHV524296 SRR524296 TBN524296 TLJ524296 TVF524296 UFB524296 UOX524296 UYT524296 VIP524296 VSL524296 WCH524296 WMD524296 WVZ524296 R589832 JN589832 TJ589832 ADF589832 ANB589832 AWX589832 BGT589832 BQP589832 CAL589832 CKH589832 CUD589832 DDZ589832 DNV589832 DXR589832 EHN589832 ERJ589832 FBF589832 FLB589832 FUX589832 GET589832 GOP589832 GYL589832 HIH589832 HSD589832 IBZ589832 ILV589832 IVR589832 JFN589832 JPJ589832 JZF589832 KJB589832 KSX589832 LCT589832 LMP589832 LWL589832 MGH589832 MQD589832 MZZ589832 NJV589832 NTR589832 ODN589832 ONJ589832 OXF589832 PHB589832 PQX589832 QAT589832 QKP589832 QUL589832 REH589832 ROD589832 RXZ589832 SHV589832 SRR589832 TBN589832 TLJ589832 TVF589832 UFB589832 UOX589832 UYT589832 VIP589832 VSL589832 WCH589832 WMD589832 WVZ589832 R655368 JN655368 TJ655368 ADF655368 ANB655368 AWX655368 BGT655368 BQP655368 CAL655368 CKH655368 CUD655368 DDZ655368 DNV655368 DXR655368 EHN655368 ERJ655368 FBF655368 FLB655368 FUX655368 GET655368 GOP655368 GYL655368 HIH655368 HSD655368 IBZ655368 ILV655368 IVR655368 JFN655368 JPJ655368 JZF655368 KJB655368 KSX655368 LCT655368 LMP655368 LWL655368 MGH655368 MQD655368 MZZ655368 NJV655368 NTR655368 ODN655368 ONJ655368 OXF655368 PHB655368 PQX655368 QAT655368 QKP655368 QUL655368 REH655368 ROD655368 RXZ655368 SHV655368 SRR655368 TBN655368 TLJ655368 TVF655368 UFB655368 UOX655368 UYT655368 VIP655368 VSL655368 WCH655368 WMD655368 WVZ655368 R720904 JN720904 TJ720904 ADF720904 ANB720904 AWX720904 BGT720904 BQP720904 CAL720904 CKH720904 CUD720904 DDZ720904 DNV720904 DXR720904 EHN720904 ERJ720904 FBF720904 FLB720904 FUX720904 GET720904 GOP720904 GYL720904 HIH720904 HSD720904 IBZ720904 ILV720904 IVR720904 JFN720904 JPJ720904 JZF720904 KJB720904 KSX720904 LCT720904 LMP720904 LWL720904 MGH720904 MQD720904 MZZ720904 NJV720904 NTR720904 ODN720904 ONJ720904 OXF720904 PHB720904 PQX720904 QAT720904 QKP720904 QUL720904 REH720904 ROD720904 RXZ720904 SHV720904 SRR720904 TBN720904 TLJ720904 TVF720904 UFB720904 UOX720904 UYT720904 VIP720904 VSL720904 WCH720904 WMD720904 WVZ720904 R786440 JN786440 TJ786440 ADF786440 ANB786440 AWX786440 BGT786440 BQP786440 CAL786440 CKH786440 CUD786440 DDZ786440 DNV786440 DXR786440 EHN786440 ERJ786440 FBF786440 FLB786440 FUX786440 GET786440 GOP786440 GYL786440 HIH786440 HSD786440 IBZ786440 ILV786440 IVR786440 JFN786440 JPJ786440 JZF786440 KJB786440 KSX786440 LCT786440 LMP786440 LWL786440 MGH786440 MQD786440 MZZ786440 NJV786440 NTR786440 ODN786440 ONJ786440 OXF786440 PHB786440 PQX786440 QAT786440 QKP786440 QUL786440 REH786440 ROD786440 RXZ786440 SHV786440 SRR786440 TBN786440 TLJ786440 TVF786440 UFB786440 UOX786440 UYT786440 VIP786440 VSL786440 WCH786440 WMD786440 WVZ786440 R851976 JN851976 TJ851976 ADF851976 ANB851976 AWX851976 BGT851976 BQP851976 CAL851976 CKH851976 CUD851976 DDZ851976 DNV851976 DXR851976 EHN851976 ERJ851976 FBF851976 FLB851976 FUX851976 GET851976 GOP851976 GYL851976 HIH851976 HSD851976 IBZ851976 ILV851976 IVR851976 JFN851976 JPJ851976 JZF851976 KJB851976 KSX851976 LCT851976 LMP851976 LWL851976 MGH851976 MQD851976 MZZ851976 NJV851976 NTR851976 ODN851976 ONJ851976 OXF851976 PHB851976 PQX851976 QAT851976 QKP851976 QUL851976 REH851976 ROD851976 RXZ851976 SHV851976 SRR851976 TBN851976 TLJ851976 TVF851976 UFB851976 UOX851976 UYT851976 VIP851976 VSL851976 WCH851976 WMD851976 WVZ851976 R917512 JN917512 TJ917512 ADF917512 ANB917512 AWX917512 BGT917512 BQP917512 CAL917512 CKH917512 CUD917512 DDZ917512 DNV917512 DXR917512 EHN917512 ERJ917512 FBF917512 FLB917512 FUX917512 GET917512 GOP917512 GYL917512 HIH917512 HSD917512 IBZ917512 ILV917512 IVR917512 JFN917512 JPJ917512 JZF917512 KJB917512 KSX917512 LCT917512 LMP917512 LWL917512 MGH917512 MQD917512 MZZ917512 NJV917512 NTR917512 ODN917512 ONJ917512 OXF917512 PHB917512 PQX917512 QAT917512 QKP917512 QUL917512 REH917512 ROD917512 RXZ917512 SHV917512 SRR917512 TBN917512 TLJ917512 TVF917512 UFB917512 UOX917512 UYT917512 VIP917512 VSL917512 WCH917512 WMD917512 WVZ917512 R983048 JN983048 TJ983048 ADF983048 ANB983048 AWX983048 BGT983048 BQP983048 CAL983048 CKH983048 CUD983048 DDZ983048 DNV983048 DXR983048 EHN983048 ERJ983048 FBF983048 FLB983048 FUX983048 GET983048 GOP983048 GYL983048 HIH983048 HSD983048 IBZ983048 ILV983048 IVR983048 JFN983048 JPJ983048 JZF983048 KJB983048 KSX983048 LCT983048 LMP983048 LWL983048 MGH983048 MQD983048 MZZ983048 NJV983048 NTR983048 ODN983048 ONJ983048 OXF983048 PHB983048 PQX983048 QAT983048 QKP983048 QUL983048 REH983048 ROD983048 RXZ983048 SHV983048 SRR983048 TBN983048 TLJ983048 TVF983048 UFB983048 UOX983048 UYT983048 VIP983048 VSL983048 WCH983048 WMD983048" xr:uid="{00000000-0002-0000-0100-000004000000}">
      <formula1>0</formula1>
      <formula2>9999</formula2>
    </dataValidation>
    <dataValidation type="decimal" allowBlank="1" showInputMessage="1" showErrorMessage="1" errorTitle="untere Toleranz" error="Zahl mit negativem Vorzeichen eingeben" promptTitle="untere Toleranz" prompt="negative Zahl eingeben" sqref="WVZ983049 JN9 TJ9 ADF9 ANB9 AWX9 BGT9 BQP9 CAL9 CKH9 CUD9 DDZ9 DNV9 DXR9 EHN9 ERJ9 FBF9 FLB9 FUX9 GET9 GOP9 GYL9 HIH9 HSD9 IBZ9 ILV9 IVR9 JFN9 JPJ9 JZF9 KJB9 KSX9 LCT9 LMP9 LWL9 MGH9 MQD9 MZZ9 NJV9 NTR9 ODN9 ONJ9 OXF9 PHB9 PQX9 QAT9 QKP9 QUL9 REH9 ROD9 RXZ9 SHV9 SRR9 TBN9 TLJ9 TVF9 UFB9 UOX9 UYT9 VIP9 VSL9 WCH9 WMD9 WVZ9 R65545 JN65545 TJ65545 ADF65545 ANB65545 AWX65545 BGT65545 BQP65545 CAL65545 CKH65545 CUD65545 DDZ65545 DNV65545 DXR65545 EHN65545 ERJ65545 FBF65545 FLB65545 FUX65545 GET65545 GOP65545 GYL65545 HIH65545 HSD65545 IBZ65545 ILV65545 IVR65545 JFN65545 JPJ65545 JZF65545 KJB65545 KSX65545 LCT65545 LMP65545 LWL65545 MGH65545 MQD65545 MZZ65545 NJV65545 NTR65545 ODN65545 ONJ65545 OXF65545 PHB65545 PQX65545 QAT65545 QKP65545 QUL65545 REH65545 ROD65545 RXZ65545 SHV65545 SRR65545 TBN65545 TLJ65545 TVF65545 UFB65545 UOX65545 UYT65545 VIP65545 VSL65545 WCH65545 WMD65545 WVZ65545 R131081 JN131081 TJ131081 ADF131081 ANB131081 AWX131081 BGT131081 BQP131081 CAL131081 CKH131081 CUD131081 DDZ131081 DNV131081 DXR131081 EHN131081 ERJ131081 FBF131081 FLB131081 FUX131081 GET131081 GOP131081 GYL131081 HIH131081 HSD131081 IBZ131081 ILV131081 IVR131081 JFN131081 JPJ131081 JZF131081 KJB131081 KSX131081 LCT131081 LMP131081 LWL131081 MGH131081 MQD131081 MZZ131081 NJV131081 NTR131081 ODN131081 ONJ131081 OXF131081 PHB131081 PQX131081 QAT131081 QKP131081 QUL131081 REH131081 ROD131081 RXZ131081 SHV131081 SRR131081 TBN131081 TLJ131081 TVF131081 UFB131081 UOX131081 UYT131081 VIP131081 VSL131081 WCH131081 WMD131081 WVZ131081 R196617 JN196617 TJ196617 ADF196617 ANB196617 AWX196617 BGT196617 BQP196617 CAL196617 CKH196617 CUD196617 DDZ196617 DNV196617 DXR196617 EHN196617 ERJ196617 FBF196617 FLB196617 FUX196617 GET196617 GOP196617 GYL196617 HIH196617 HSD196617 IBZ196617 ILV196617 IVR196617 JFN196617 JPJ196617 JZF196617 KJB196617 KSX196617 LCT196617 LMP196617 LWL196617 MGH196617 MQD196617 MZZ196617 NJV196617 NTR196617 ODN196617 ONJ196617 OXF196617 PHB196617 PQX196617 QAT196617 QKP196617 QUL196617 REH196617 ROD196617 RXZ196617 SHV196617 SRR196617 TBN196617 TLJ196617 TVF196617 UFB196617 UOX196617 UYT196617 VIP196617 VSL196617 WCH196617 WMD196617 WVZ196617 R262153 JN262153 TJ262153 ADF262153 ANB262153 AWX262153 BGT262153 BQP262153 CAL262153 CKH262153 CUD262153 DDZ262153 DNV262153 DXR262153 EHN262153 ERJ262153 FBF262153 FLB262153 FUX262153 GET262153 GOP262153 GYL262153 HIH262153 HSD262153 IBZ262153 ILV262153 IVR262153 JFN262153 JPJ262153 JZF262153 KJB262153 KSX262153 LCT262153 LMP262153 LWL262153 MGH262153 MQD262153 MZZ262153 NJV262153 NTR262153 ODN262153 ONJ262153 OXF262153 PHB262153 PQX262153 QAT262153 QKP262153 QUL262153 REH262153 ROD262153 RXZ262153 SHV262153 SRR262153 TBN262153 TLJ262153 TVF262153 UFB262153 UOX262153 UYT262153 VIP262153 VSL262153 WCH262153 WMD262153 WVZ262153 R327689 JN327689 TJ327689 ADF327689 ANB327689 AWX327689 BGT327689 BQP327689 CAL327689 CKH327689 CUD327689 DDZ327689 DNV327689 DXR327689 EHN327689 ERJ327689 FBF327689 FLB327689 FUX327689 GET327689 GOP327689 GYL327689 HIH327689 HSD327689 IBZ327689 ILV327689 IVR327689 JFN327689 JPJ327689 JZF327689 KJB327689 KSX327689 LCT327689 LMP327689 LWL327689 MGH327689 MQD327689 MZZ327689 NJV327689 NTR327689 ODN327689 ONJ327689 OXF327689 PHB327689 PQX327689 QAT327689 QKP327689 QUL327689 REH327689 ROD327689 RXZ327689 SHV327689 SRR327689 TBN327689 TLJ327689 TVF327689 UFB327689 UOX327689 UYT327689 VIP327689 VSL327689 WCH327689 WMD327689 WVZ327689 R393225 JN393225 TJ393225 ADF393225 ANB393225 AWX393225 BGT393225 BQP393225 CAL393225 CKH393225 CUD393225 DDZ393225 DNV393225 DXR393225 EHN393225 ERJ393225 FBF393225 FLB393225 FUX393225 GET393225 GOP393225 GYL393225 HIH393225 HSD393225 IBZ393225 ILV393225 IVR393225 JFN393225 JPJ393225 JZF393225 KJB393225 KSX393225 LCT393225 LMP393225 LWL393225 MGH393225 MQD393225 MZZ393225 NJV393225 NTR393225 ODN393225 ONJ393225 OXF393225 PHB393225 PQX393225 QAT393225 QKP393225 QUL393225 REH393225 ROD393225 RXZ393225 SHV393225 SRR393225 TBN393225 TLJ393225 TVF393225 UFB393225 UOX393225 UYT393225 VIP393225 VSL393225 WCH393225 WMD393225 WVZ393225 R458761 JN458761 TJ458761 ADF458761 ANB458761 AWX458761 BGT458761 BQP458761 CAL458761 CKH458761 CUD458761 DDZ458761 DNV458761 DXR458761 EHN458761 ERJ458761 FBF458761 FLB458761 FUX458761 GET458761 GOP458761 GYL458761 HIH458761 HSD458761 IBZ458761 ILV458761 IVR458761 JFN458761 JPJ458761 JZF458761 KJB458761 KSX458761 LCT458761 LMP458761 LWL458761 MGH458761 MQD458761 MZZ458761 NJV458761 NTR458761 ODN458761 ONJ458761 OXF458761 PHB458761 PQX458761 QAT458761 QKP458761 QUL458761 REH458761 ROD458761 RXZ458761 SHV458761 SRR458761 TBN458761 TLJ458761 TVF458761 UFB458761 UOX458761 UYT458761 VIP458761 VSL458761 WCH458761 WMD458761 WVZ458761 R524297 JN524297 TJ524297 ADF524297 ANB524297 AWX524297 BGT524297 BQP524297 CAL524297 CKH524297 CUD524297 DDZ524297 DNV524297 DXR524297 EHN524297 ERJ524297 FBF524297 FLB524297 FUX524297 GET524297 GOP524297 GYL524297 HIH524297 HSD524297 IBZ524297 ILV524297 IVR524297 JFN524297 JPJ524297 JZF524297 KJB524297 KSX524297 LCT524297 LMP524297 LWL524297 MGH524297 MQD524297 MZZ524297 NJV524297 NTR524297 ODN524297 ONJ524297 OXF524297 PHB524297 PQX524297 QAT524297 QKP524297 QUL524297 REH524297 ROD524297 RXZ524297 SHV524297 SRR524297 TBN524297 TLJ524297 TVF524297 UFB524297 UOX524297 UYT524297 VIP524297 VSL524297 WCH524297 WMD524297 WVZ524297 R589833 JN589833 TJ589833 ADF589833 ANB589833 AWX589833 BGT589833 BQP589833 CAL589833 CKH589833 CUD589833 DDZ589833 DNV589833 DXR589833 EHN589833 ERJ589833 FBF589833 FLB589833 FUX589833 GET589833 GOP589833 GYL589833 HIH589833 HSD589833 IBZ589833 ILV589833 IVR589833 JFN589833 JPJ589833 JZF589833 KJB589833 KSX589833 LCT589833 LMP589833 LWL589833 MGH589833 MQD589833 MZZ589833 NJV589833 NTR589833 ODN589833 ONJ589833 OXF589833 PHB589833 PQX589833 QAT589833 QKP589833 QUL589833 REH589833 ROD589833 RXZ589833 SHV589833 SRR589833 TBN589833 TLJ589833 TVF589833 UFB589833 UOX589833 UYT589833 VIP589833 VSL589833 WCH589833 WMD589833 WVZ589833 R655369 JN655369 TJ655369 ADF655369 ANB655369 AWX655369 BGT655369 BQP655369 CAL655369 CKH655369 CUD655369 DDZ655369 DNV655369 DXR655369 EHN655369 ERJ655369 FBF655369 FLB655369 FUX655369 GET655369 GOP655369 GYL655369 HIH655369 HSD655369 IBZ655369 ILV655369 IVR655369 JFN655369 JPJ655369 JZF655369 KJB655369 KSX655369 LCT655369 LMP655369 LWL655369 MGH655369 MQD655369 MZZ655369 NJV655369 NTR655369 ODN655369 ONJ655369 OXF655369 PHB655369 PQX655369 QAT655369 QKP655369 QUL655369 REH655369 ROD655369 RXZ655369 SHV655369 SRR655369 TBN655369 TLJ655369 TVF655369 UFB655369 UOX655369 UYT655369 VIP655369 VSL655369 WCH655369 WMD655369 WVZ655369 R720905 JN720905 TJ720905 ADF720905 ANB720905 AWX720905 BGT720905 BQP720905 CAL720905 CKH720905 CUD720905 DDZ720905 DNV720905 DXR720905 EHN720905 ERJ720905 FBF720905 FLB720905 FUX720905 GET720905 GOP720905 GYL720905 HIH720905 HSD720905 IBZ720905 ILV720905 IVR720905 JFN720905 JPJ720905 JZF720905 KJB720905 KSX720905 LCT720905 LMP720905 LWL720905 MGH720905 MQD720905 MZZ720905 NJV720905 NTR720905 ODN720905 ONJ720905 OXF720905 PHB720905 PQX720905 QAT720905 QKP720905 QUL720905 REH720905 ROD720905 RXZ720905 SHV720905 SRR720905 TBN720905 TLJ720905 TVF720905 UFB720905 UOX720905 UYT720905 VIP720905 VSL720905 WCH720905 WMD720905 WVZ720905 R786441 JN786441 TJ786441 ADF786441 ANB786441 AWX786441 BGT786441 BQP786441 CAL786441 CKH786441 CUD786441 DDZ786441 DNV786441 DXR786441 EHN786441 ERJ786441 FBF786441 FLB786441 FUX786441 GET786441 GOP786441 GYL786441 HIH786441 HSD786441 IBZ786441 ILV786441 IVR786441 JFN786441 JPJ786441 JZF786441 KJB786441 KSX786441 LCT786441 LMP786441 LWL786441 MGH786441 MQD786441 MZZ786441 NJV786441 NTR786441 ODN786441 ONJ786441 OXF786441 PHB786441 PQX786441 QAT786441 QKP786441 QUL786441 REH786441 ROD786441 RXZ786441 SHV786441 SRR786441 TBN786441 TLJ786441 TVF786441 UFB786441 UOX786441 UYT786441 VIP786441 VSL786441 WCH786441 WMD786441 WVZ786441 R851977 JN851977 TJ851977 ADF851977 ANB851977 AWX851977 BGT851977 BQP851977 CAL851977 CKH851977 CUD851977 DDZ851977 DNV851977 DXR851977 EHN851977 ERJ851977 FBF851977 FLB851977 FUX851977 GET851977 GOP851977 GYL851977 HIH851977 HSD851977 IBZ851977 ILV851977 IVR851977 JFN851977 JPJ851977 JZF851977 KJB851977 KSX851977 LCT851977 LMP851977 LWL851977 MGH851977 MQD851977 MZZ851977 NJV851977 NTR851977 ODN851977 ONJ851977 OXF851977 PHB851977 PQX851977 QAT851977 QKP851977 QUL851977 REH851977 ROD851977 RXZ851977 SHV851977 SRR851977 TBN851977 TLJ851977 TVF851977 UFB851977 UOX851977 UYT851977 VIP851977 VSL851977 WCH851977 WMD851977 WVZ851977 R917513 JN917513 TJ917513 ADF917513 ANB917513 AWX917513 BGT917513 BQP917513 CAL917513 CKH917513 CUD917513 DDZ917513 DNV917513 DXR917513 EHN917513 ERJ917513 FBF917513 FLB917513 FUX917513 GET917513 GOP917513 GYL917513 HIH917513 HSD917513 IBZ917513 ILV917513 IVR917513 JFN917513 JPJ917513 JZF917513 KJB917513 KSX917513 LCT917513 LMP917513 LWL917513 MGH917513 MQD917513 MZZ917513 NJV917513 NTR917513 ODN917513 ONJ917513 OXF917513 PHB917513 PQX917513 QAT917513 QKP917513 QUL917513 REH917513 ROD917513 RXZ917513 SHV917513 SRR917513 TBN917513 TLJ917513 TVF917513 UFB917513 UOX917513 UYT917513 VIP917513 VSL917513 WCH917513 WMD917513 WVZ917513 R983049 JN983049 TJ983049 ADF983049 ANB983049 AWX983049 BGT983049 BQP983049 CAL983049 CKH983049 CUD983049 DDZ983049 DNV983049 DXR983049 EHN983049 ERJ983049 FBF983049 FLB983049 FUX983049 GET983049 GOP983049 GYL983049 HIH983049 HSD983049 IBZ983049 ILV983049 IVR983049 JFN983049 JPJ983049 JZF983049 KJB983049 KSX983049 LCT983049 LMP983049 LWL983049 MGH983049 MQD983049 MZZ983049 NJV983049 NTR983049 ODN983049 ONJ983049 OXF983049 PHB983049 PQX983049 QAT983049 QKP983049 QUL983049 REH983049 ROD983049 RXZ983049 SHV983049 SRR983049 TBN983049 TLJ983049 TVF983049 UFB983049 UOX983049 UYT983049 VIP983049 VSL983049 WCH983049 WMD983049" xr:uid="{00000000-0002-0000-0100-000005000000}">
      <formula1>-99999</formula1>
      <formula2>0</formula2>
    </dataValidation>
    <dataValidation type="textLength" allowBlank="1" showInputMessage="1" showErrorMessage="1" errorTitle="Textlänge" error="maximal 24 Zeichen" sqref="P13 JL13 TH13 ADD13 AMZ13 AWV13 BGR13 BQN13 CAJ13 CKF13 CUB13 DDX13 DNT13 DXP13 EHL13 ERH13 FBD13 FKZ13 FUV13 GER13 GON13 GYJ13 HIF13 HSB13 IBX13 ILT13 IVP13 JFL13 JPH13 JZD13 KIZ13 KSV13 LCR13 LMN13 LWJ13 MGF13 MQB13 MZX13 NJT13 NTP13 ODL13 ONH13 OXD13 PGZ13 PQV13 QAR13 QKN13 QUJ13 REF13 ROB13 RXX13 SHT13 SRP13 TBL13 TLH13 TVD13 UEZ13 UOV13 UYR13 VIN13 VSJ13 WCF13 WMB13 WVX13 P65549 JL65549 TH65549 ADD65549 AMZ65549 AWV65549 BGR65549 BQN65549 CAJ65549 CKF65549 CUB65549 DDX65549 DNT65549 DXP65549 EHL65549 ERH65549 FBD65549 FKZ65549 FUV65549 GER65549 GON65549 GYJ65549 HIF65549 HSB65549 IBX65549 ILT65549 IVP65549 JFL65549 JPH65549 JZD65549 KIZ65549 KSV65549 LCR65549 LMN65549 LWJ65549 MGF65549 MQB65549 MZX65549 NJT65549 NTP65549 ODL65549 ONH65549 OXD65549 PGZ65549 PQV65549 QAR65549 QKN65549 QUJ65549 REF65549 ROB65549 RXX65549 SHT65549 SRP65549 TBL65549 TLH65549 TVD65549 UEZ65549 UOV65549 UYR65549 VIN65549 VSJ65549 WCF65549 WMB65549 WVX65549 P131085 JL131085 TH131085 ADD131085 AMZ131085 AWV131085 BGR131085 BQN131085 CAJ131085 CKF131085 CUB131085 DDX131085 DNT131085 DXP131085 EHL131085 ERH131085 FBD131085 FKZ131085 FUV131085 GER131085 GON131085 GYJ131085 HIF131085 HSB131085 IBX131085 ILT131085 IVP131085 JFL131085 JPH131085 JZD131085 KIZ131085 KSV131085 LCR131085 LMN131085 LWJ131085 MGF131085 MQB131085 MZX131085 NJT131085 NTP131085 ODL131085 ONH131085 OXD131085 PGZ131085 PQV131085 QAR131085 QKN131085 QUJ131085 REF131085 ROB131085 RXX131085 SHT131085 SRP131085 TBL131085 TLH131085 TVD131085 UEZ131085 UOV131085 UYR131085 VIN131085 VSJ131085 WCF131085 WMB131085 WVX131085 P196621 JL196621 TH196621 ADD196621 AMZ196621 AWV196621 BGR196621 BQN196621 CAJ196621 CKF196621 CUB196621 DDX196621 DNT196621 DXP196621 EHL196621 ERH196621 FBD196621 FKZ196621 FUV196621 GER196621 GON196621 GYJ196621 HIF196621 HSB196621 IBX196621 ILT196621 IVP196621 JFL196621 JPH196621 JZD196621 KIZ196621 KSV196621 LCR196621 LMN196621 LWJ196621 MGF196621 MQB196621 MZX196621 NJT196621 NTP196621 ODL196621 ONH196621 OXD196621 PGZ196621 PQV196621 QAR196621 QKN196621 QUJ196621 REF196621 ROB196621 RXX196621 SHT196621 SRP196621 TBL196621 TLH196621 TVD196621 UEZ196621 UOV196621 UYR196621 VIN196621 VSJ196621 WCF196621 WMB196621 WVX196621 P262157 JL262157 TH262157 ADD262157 AMZ262157 AWV262157 BGR262157 BQN262157 CAJ262157 CKF262157 CUB262157 DDX262157 DNT262157 DXP262157 EHL262157 ERH262157 FBD262157 FKZ262157 FUV262157 GER262157 GON262157 GYJ262157 HIF262157 HSB262157 IBX262157 ILT262157 IVP262157 JFL262157 JPH262157 JZD262157 KIZ262157 KSV262157 LCR262157 LMN262157 LWJ262157 MGF262157 MQB262157 MZX262157 NJT262157 NTP262157 ODL262157 ONH262157 OXD262157 PGZ262157 PQV262157 QAR262157 QKN262157 QUJ262157 REF262157 ROB262157 RXX262157 SHT262157 SRP262157 TBL262157 TLH262157 TVD262157 UEZ262157 UOV262157 UYR262157 VIN262157 VSJ262157 WCF262157 WMB262157 WVX262157 P327693 JL327693 TH327693 ADD327693 AMZ327693 AWV327693 BGR327693 BQN327693 CAJ327693 CKF327693 CUB327693 DDX327693 DNT327693 DXP327693 EHL327693 ERH327693 FBD327693 FKZ327693 FUV327693 GER327693 GON327693 GYJ327693 HIF327693 HSB327693 IBX327693 ILT327693 IVP327693 JFL327693 JPH327693 JZD327693 KIZ327693 KSV327693 LCR327693 LMN327693 LWJ327693 MGF327693 MQB327693 MZX327693 NJT327693 NTP327693 ODL327693 ONH327693 OXD327693 PGZ327693 PQV327693 QAR327693 QKN327693 QUJ327693 REF327693 ROB327693 RXX327693 SHT327693 SRP327693 TBL327693 TLH327693 TVD327693 UEZ327693 UOV327693 UYR327693 VIN327693 VSJ327693 WCF327693 WMB327693 WVX327693 P393229 JL393229 TH393229 ADD393229 AMZ393229 AWV393229 BGR393229 BQN393229 CAJ393229 CKF393229 CUB393229 DDX393229 DNT393229 DXP393229 EHL393229 ERH393229 FBD393229 FKZ393229 FUV393229 GER393229 GON393229 GYJ393229 HIF393229 HSB393229 IBX393229 ILT393229 IVP393229 JFL393229 JPH393229 JZD393229 KIZ393229 KSV393229 LCR393229 LMN393229 LWJ393229 MGF393229 MQB393229 MZX393229 NJT393229 NTP393229 ODL393229 ONH393229 OXD393229 PGZ393229 PQV393229 QAR393229 QKN393229 QUJ393229 REF393229 ROB393229 RXX393229 SHT393229 SRP393229 TBL393229 TLH393229 TVD393229 UEZ393229 UOV393229 UYR393229 VIN393229 VSJ393229 WCF393229 WMB393229 WVX393229 P458765 JL458765 TH458765 ADD458765 AMZ458765 AWV458765 BGR458765 BQN458765 CAJ458765 CKF458765 CUB458765 DDX458765 DNT458765 DXP458765 EHL458765 ERH458765 FBD458765 FKZ458765 FUV458765 GER458765 GON458765 GYJ458765 HIF458765 HSB458765 IBX458765 ILT458765 IVP458765 JFL458765 JPH458765 JZD458765 KIZ458765 KSV458765 LCR458765 LMN458765 LWJ458765 MGF458765 MQB458765 MZX458765 NJT458765 NTP458765 ODL458765 ONH458765 OXD458765 PGZ458765 PQV458765 QAR458765 QKN458765 QUJ458765 REF458765 ROB458765 RXX458765 SHT458765 SRP458765 TBL458765 TLH458765 TVD458765 UEZ458765 UOV458765 UYR458765 VIN458765 VSJ458765 WCF458765 WMB458765 WVX458765 P524301 JL524301 TH524301 ADD524301 AMZ524301 AWV524301 BGR524301 BQN524301 CAJ524301 CKF524301 CUB524301 DDX524301 DNT524301 DXP524301 EHL524301 ERH524301 FBD524301 FKZ524301 FUV524301 GER524301 GON524301 GYJ524301 HIF524301 HSB524301 IBX524301 ILT524301 IVP524301 JFL524301 JPH524301 JZD524301 KIZ524301 KSV524301 LCR524301 LMN524301 LWJ524301 MGF524301 MQB524301 MZX524301 NJT524301 NTP524301 ODL524301 ONH524301 OXD524301 PGZ524301 PQV524301 QAR524301 QKN524301 QUJ524301 REF524301 ROB524301 RXX524301 SHT524301 SRP524301 TBL524301 TLH524301 TVD524301 UEZ524301 UOV524301 UYR524301 VIN524301 VSJ524301 WCF524301 WMB524301 WVX524301 P589837 JL589837 TH589837 ADD589837 AMZ589837 AWV589837 BGR589837 BQN589837 CAJ589837 CKF589837 CUB589837 DDX589837 DNT589837 DXP589837 EHL589837 ERH589837 FBD589837 FKZ589837 FUV589837 GER589837 GON589837 GYJ589837 HIF589837 HSB589837 IBX589837 ILT589837 IVP589837 JFL589837 JPH589837 JZD589837 KIZ589837 KSV589837 LCR589837 LMN589837 LWJ589837 MGF589837 MQB589837 MZX589837 NJT589837 NTP589837 ODL589837 ONH589837 OXD589837 PGZ589837 PQV589837 QAR589837 QKN589837 QUJ589837 REF589837 ROB589837 RXX589837 SHT589837 SRP589837 TBL589837 TLH589837 TVD589837 UEZ589837 UOV589837 UYR589837 VIN589837 VSJ589837 WCF589837 WMB589837 WVX589837 P655373 JL655373 TH655373 ADD655373 AMZ655373 AWV655373 BGR655373 BQN655373 CAJ655373 CKF655373 CUB655373 DDX655373 DNT655373 DXP655373 EHL655373 ERH655373 FBD655373 FKZ655373 FUV655373 GER655373 GON655373 GYJ655373 HIF655373 HSB655373 IBX655373 ILT655373 IVP655373 JFL655373 JPH655373 JZD655373 KIZ655373 KSV655373 LCR655373 LMN655373 LWJ655373 MGF655373 MQB655373 MZX655373 NJT655373 NTP655373 ODL655373 ONH655373 OXD655373 PGZ655373 PQV655373 QAR655373 QKN655373 QUJ655373 REF655373 ROB655373 RXX655373 SHT655373 SRP655373 TBL655373 TLH655373 TVD655373 UEZ655373 UOV655373 UYR655373 VIN655373 VSJ655373 WCF655373 WMB655373 WVX655373 P720909 JL720909 TH720909 ADD720909 AMZ720909 AWV720909 BGR720909 BQN720909 CAJ720909 CKF720909 CUB720909 DDX720909 DNT720909 DXP720909 EHL720909 ERH720909 FBD720909 FKZ720909 FUV720909 GER720909 GON720909 GYJ720909 HIF720909 HSB720909 IBX720909 ILT720909 IVP720909 JFL720909 JPH720909 JZD720909 KIZ720909 KSV720909 LCR720909 LMN720909 LWJ720909 MGF720909 MQB720909 MZX720909 NJT720909 NTP720909 ODL720909 ONH720909 OXD720909 PGZ720909 PQV720909 QAR720909 QKN720909 QUJ720909 REF720909 ROB720909 RXX720909 SHT720909 SRP720909 TBL720909 TLH720909 TVD720909 UEZ720909 UOV720909 UYR720909 VIN720909 VSJ720909 WCF720909 WMB720909 WVX720909 P786445 JL786445 TH786445 ADD786445 AMZ786445 AWV786445 BGR786445 BQN786445 CAJ786445 CKF786445 CUB786445 DDX786445 DNT786445 DXP786445 EHL786445 ERH786445 FBD786445 FKZ786445 FUV786445 GER786445 GON786445 GYJ786445 HIF786445 HSB786445 IBX786445 ILT786445 IVP786445 JFL786445 JPH786445 JZD786445 KIZ786445 KSV786445 LCR786445 LMN786445 LWJ786445 MGF786445 MQB786445 MZX786445 NJT786445 NTP786445 ODL786445 ONH786445 OXD786445 PGZ786445 PQV786445 QAR786445 QKN786445 QUJ786445 REF786445 ROB786445 RXX786445 SHT786445 SRP786445 TBL786445 TLH786445 TVD786445 UEZ786445 UOV786445 UYR786445 VIN786445 VSJ786445 WCF786445 WMB786445 WVX786445 P851981 JL851981 TH851981 ADD851981 AMZ851981 AWV851981 BGR851981 BQN851981 CAJ851981 CKF851981 CUB851981 DDX851981 DNT851981 DXP851981 EHL851981 ERH851981 FBD851981 FKZ851981 FUV851981 GER851981 GON851981 GYJ851981 HIF851981 HSB851981 IBX851981 ILT851981 IVP851981 JFL851981 JPH851981 JZD851981 KIZ851981 KSV851981 LCR851981 LMN851981 LWJ851981 MGF851981 MQB851981 MZX851981 NJT851981 NTP851981 ODL851981 ONH851981 OXD851981 PGZ851981 PQV851981 QAR851981 QKN851981 QUJ851981 REF851981 ROB851981 RXX851981 SHT851981 SRP851981 TBL851981 TLH851981 TVD851981 UEZ851981 UOV851981 UYR851981 VIN851981 VSJ851981 WCF851981 WMB851981 WVX851981 P917517 JL917517 TH917517 ADD917517 AMZ917517 AWV917517 BGR917517 BQN917517 CAJ917517 CKF917517 CUB917517 DDX917517 DNT917517 DXP917517 EHL917517 ERH917517 FBD917517 FKZ917517 FUV917517 GER917517 GON917517 GYJ917517 HIF917517 HSB917517 IBX917517 ILT917517 IVP917517 JFL917517 JPH917517 JZD917517 KIZ917517 KSV917517 LCR917517 LMN917517 LWJ917517 MGF917517 MQB917517 MZX917517 NJT917517 NTP917517 ODL917517 ONH917517 OXD917517 PGZ917517 PQV917517 QAR917517 QKN917517 QUJ917517 REF917517 ROB917517 RXX917517 SHT917517 SRP917517 TBL917517 TLH917517 TVD917517 UEZ917517 UOV917517 UYR917517 VIN917517 VSJ917517 WCF917517 WMB917517 WVX917517 P983053 JL983053 TH983053 ADD983053 AMZ983053 AWV983053 BGR983053 BQN983053 CAJ983053 CKF983053 CUB983053 DDX983053 DNT983053 DXP983053 EHL983053 ERH983053 FBD983053 FKZ983053 FUV983053 GER983053 GON983053 GYJ983053 HIF983053 HSB983053 IBX983053 ILT983053 IVP983053 JFL983053 JPH983053 JZD983053 KIZ983053 KSV983053 LCR983053 LMN983053 LWJ983053 MGF983053 MQB983053 MZX983053 NJT983053 NTP983053 ODL983053 ONH983053 OXD983053 PGZ983053 PQV983053 QAR983053 QKN983053 QUJ983053 REF983053 ROB983053 RXX983053 SHT983053 SRP983053 TBL983053 TLH983053 TVD983053 UEZ983053 UOV983053 UYR983053 VIN983053 VSJ983053 WCF983053 WMB983053 WVX983053" xr:uid="{00000000-0002-0000-0100-000006000000}">
      <formula1>1</formula1>
      <formula2>24</formula2>
    </dataValidation>
    <dataValidation type="list" showInputMessage="1" showErrorMessage="1" promptTitle="Subject of evaluation" prompt="select from the list" sqref="Q4:S4 JM4:JO4 TI4:TK4 ADE4:ADG4 ANA4:ANC4 AWW4:AWY4 BGS4:BGU4 BQO4:BQQ4 CAK4:CAM4 CKG4:CKI4 CUC4:CUE4 DDY4:DEA4 DNU4:DNW4 DXQ4:DXS4 EHM4:EHO4 ERI4:ERK4 FBE4:FBG4 FLA4:FLC4 FUW4:FUY4 GES4:GEU4 GOO4:GOQ4 GYK4:GYM4 HIG4:HII4 HSC4:HSE4 IBY4:ICA4 ILU4:ILW4 IVQ4:IVS4 JFM4:JFO4 JPI4:JPK4 JZE4:JZG4 KJA4:KJC4 KSW4:KSY4 LCS4:LCU4 LMO4:LMQ4 LWK4:LWM4 MGG4:MGI4 MQC4:MQE4 MZY4:NAA4 NJU4:NJW4 NTQ4:NTS4 ODM4:ODO4 ONI4:ONK4 OXE4:OXG4 PHA4:PHC4 PQW4:PQY4 QAS4:QAU4 QKO4:QKQ4 QUK4:QUM4 REG4:REI4 ROC4:ROE4 RXY4:RYA4 SHU4:SHW4 SRQ4:SRS4 TBM4:TBO4 TLI4:TLK4 TVE4:TVG4 UFA4:UFC4 UOW4:UOY4 UYS4:UYU4 VIO4:VIQ4 VSK4:VSM4 WCG4:WCI4 WMC4:WME4 WVY4:WWA4 Q65540:S65540 JM65540:JO65540 TI65540:TK65540 ADE65540:ADG65540 ANA65540:ANC65540 AWW65540:AWY65540 BGS65540:BGU65540 BQO65540:BQQ65540 CAK65540:CAM65540 CKG65540:CKI65540 CUC65540:CUE65540 DDY65540:DEA65540 DNU65540:DNW65540 DXQ65540:DXS65540 EHM65540:EHO65540 ERI65540:ERK65540 FBE65540:FBG65540 FLA65540:FLC65540 FUW65540:FUY65540 GES65540:GEU65540 GOO65540:GOQ65540 GYK65540:GYM65540 HIG65540:HII65540 HSC65540:HSE65540 IBY65540:ICA65540 ILU65540:ILW65540 IVQ65540:IVS65540 JFM65540:JFO65540 JPI65540:JPK65540 JZE65540:JZG65540 KJA65540:KJC65540 KSW65540:KSY65540 LCS65540:LCU65540 LMO65540:LMQ65540 LWK65540:LWM65540 MGG65540:MGI65540 MQC65540:MQE65540 MZY65540:NAA65540 NJU65540:NJW65540 NTQ65540:NTS65540 ODM65540:ODO65540 ONI65540:ONK65540 OXE65540:OXG65540 PHA65540:PHC65540 PQW65540:PQY65540 QAS65540:QAU65540 QKO65540:QKQ65540 QUK65540:QUM65540 REG65540:REI65540 ROC65540:ROE65540 RXY65540:RYA65540 SHU65540:SHW65540 SRQ65540:SRS65540 TBM65540:TBO65540 TLI65540:TLK65540 TVE65540:TVG65540 UFA65540:UFC65540 UOW65540:UOY65540 UYS65540:UYU65540 VIO65540:VIQ65540 VSK65540:VSM65540 WCG65540:WCI65540 WMC65540:WME65540 WVY65540:WWA65540 Q131076:S131076 JM131076:JO131076 TI131076:TK131076 ADE131076:ADG131076 ANA131076:ANC131076 AWW131076:AWY131076 BGS131076:BGU131076 BQO131076:BQQ131076 CAK131076:CAM131076 CKG131076:CKI131076 CUC131076:CUE131076 DDY131076:DEA131076 DNU131076:DNW131076 DXQ131076:DXS131076 EHM131076:EHO131076 ERI131076:ERK131076 FBE131076:FBG131076 FLA131076:FLC131076 FUW131076:FUY131076 GES131076:GEU131076 GOO131076:GOQ131076 GYK131076:GYM131076 HIG131076:HII131076 HSC131076:HSE131076 IBY131076:ICA131076 ILU131076:ILW131076 IVQ131076:IVS131076 JFM131076:JFO131076 JPI131076:JPK131076 JZE131076:JZG131076 KJA131076:KJC131076 KSW131076:KSY131076 LCS131076:LCU131076 LMO131076:LMQ131076 LWK131076:LWM131076 MGG131076:MGI131076 MQC131076:MQE131076 MZY131076:NAA131076 NJU131076:NJW131076 NTQ131076:NTS131076 ODM131076:ODO131076 ONI131076:ONK131076 OXE131076:OXG131076 PHA131076:PHC131076 PQW131076:PQY131076 QAS131076:QAU131076 QKO131076:QKQ131076 QUK131076:QUM131076 REG131076:REI131076 ROC131076:ROE131076 RXY131076:RYA131076 SHU131076:SHW131076 SRQ131076:SRS131076 TBM131076:TBO131076 TLI131076:TLK131076 TVE131076:TVG131076 UFA131076:UFC131076 UOW131076:UOY131076 UYS131076:UYU131076 VIO131076:VIQ131076 VSK131076:VSM131076 WCG131076:WCI131076 WMC131076:WME131076 WVY131076:WWA131076 Q196612:S196612 JM196612:JO196612 TI196612:TK196612 ADE196612:ADG196612 ANA196612:ANC196612 AWW196612:AWY196612 BGS196612:BGU196612 BQO196612:BQQ196612 CAK196612:CAM196612 CKG196612:CKI196612 CUC196612:CUE196612 DDY196612:DEA196612 DNU196612:DNW196612 DXQ196612:DXS196612 EHM196612:EHO196612 ERI196612:ERK196612 FBE196612:FBG196612 FLA196612:FLC196612 FUW196612:FUY196612 GES196612:GEU196612 GOO196612:GOQ196612 GYK196612:GYM196612 HIG196612:HII196612 HSC196612:HSE196612 IBY196612:ICA196612 ILU196612:ILW196612 IVQ196612:IVS196612 JFM196612:JFO196612 JPI196612:JPK196612 JZE196612:JZG196612 KJA196612:KJC196612 KSW196612:KSY196612 LCS196612:LCU196612 LMO196612:LMQ196612 LWK196612:LWM196612 MGG196612:MGI196612 MQC196612:MQE196612 MZY196612:NAA196612 NJU196612:NJW196612 NTQ196612:NTS196612 ODM196612:ODO196612 ONI196612:ONK196612 OXE196612:OXG196612 PHA196612:PHC196612 PQW196612:PQY196612 QAS196612:QAU196612 QKO196612:QKQ196612 QUK196612:QUM196612 REG196612:REI196612 ROC196612:ROE196612 RXY196612:RYA196612 SHU196612:SHW196612 SRQ196612:SRS196612 TBM196612:TBO196612 TLI196612:TLK196612 TVE196612:TVG196612 UFA196612:UFC196612 UOW196612:UOY196612 UYS196612:UYU196612 VIO196612:VIQ196612 VSK196612:VSM196612 WCG196612:WCI196612 WMC196612:WME196612 WVY196612:WWA196612 Q262148:S262148 JM262148:JO262148 TI262148:TK262148 ADE262148:ADG262148 ANA262148:ANC262148 AWW262148:AWY262148 BGS262148:BGU262148 BQO262148:BQQ262148 CAK262148:CAM262148 CKG262148:CKI262148 CUC262148:CUE262148 DDY262148:DEA262148 DNU262148:DNW262148 DXQ262148:DXS262148 EHM262148:EHO262148 ERI262148:ERK262148 FBE262148:FBG262148 FLA262148:FLC262148 FUW262148:FUY262148 GES262148:GEU262148 GOO262148:GOQ262148 GYK262148:GYM262148 HIG262148:HII262148 HSC262148:HSE262148 IBY262148:ICA262148 ILU262148:ILW262148 IVQ262148:IVS262148 JFM262148:JFO262148 JPI262148:JPK262148 JZE262148:JZG262148 KJA262148:KJC262148 KSW262148:KSY262148 LCS262148:LCU262148 LMO262148:LMQ262148 LWK262148:LWM262148 MGG262148:MGI262148 MQC262148:MQE262148 MZY262148:NAA262148 NJU262148:NJW262148 NTQ262148:NTS262148 ODM262148:ODO262148 ONI262148:ONK262148 OXE262148:OXG262148 PHA262148:PHC262148 PQW262148:PQY262148 QAS262148:QAU262148 QKO262148:QKQ262148 QUK262148:QUM262148 REG262148:REI262148 ROC262148:ROE262148 RXY262148:RYA262148 SHU262148:SHW262148 SRQ262148:SRS262148 TBM262148:TBO262148 TLI262148:TLK262148 TVE262148:TVG262148 UFA262148:UFC262148 UOW262148:UOY262148 UYS262148:UYU262148 VIO262148:VIQ262148 VSK262148:VSM262148 WCG262148:WCI262148 WMC262148:WME262148 WVY262148:WWA262148 Q327684:S327684 JM327684:JO327684 TI327684:TK327684 ADE327684:ADG327684 ANA327684:ANC327684 AWW327684:AWY327684 BGS327684:BGU327684 BQO327684:BQQ327684 CAK327684:CAM327684 CKG327684:CKI327684 CUC327684:CUE327684 DDY327684:DEA327684 DNU327684:DNW327684 DXQ327684:DXS327684 EHM327684:EHO327684 ERI327684:ERK327684 FBE327684:FBG327684 FLA327684:FLC327684 FUW327684:FUY327684 GES327684:GEU327684 GOO327684:GOQ327684 GYK327684:GYM327684 HIG327684:HII327684 HSC327684:HSE327684 IBY327684:ICA327684 ILU327684:ILW327684 IVQ327684:IVS327684 JFM327684:JFO327684 JPI327684:JPK327684 JZE327684:JZG327684 KJA327684:KJC327684 KSW327684:KSY327684 LCS327684:LCU327684 LMO327684:LMQ327684 LWK327684:LWM327684 MGG327684:MGI327684 MQC327684:MQE327684 MZY327684:NAA327684 NJU327684:NJW327684 NTQ327684:NTS327684 ODM327684:ODO327684 ONI327684:ONK327684 OXE327684:OXG327684 PHA327684:PHC327684 PQW327684:PQY327684 QAS327684:QAU327684 QKO327684:QKQ327684 QUK327684:QUM327684 REG327684:REI327684 ROC327684:ROE327684 RXY327684:RYA327684 SHU327684:SHW327684 SRQ327684:SRS327684 TBM327684:TBO327684 TLI327684:TLK327684 TVE327684:TVG327684 UFA327684:UFC327684 UOW327684:UOY327684 UYS327684:UYU327684 VIO327684:VIQ327684 VSK327684:VSM327684 WCG327684:WCI327684 WMC327684:WME327684 WVY327684:WWA327684 Q393220:S393220 JM393220:JO393220 TI393220:TK393220 ADE393220:ADG393220 ANA393220:ANC393220 AWW393220:AWY393220 BGS393220:BGU393220 BQO393220:BQQ393220 CAK393220:CAM393220 CKG393220:CKI393220 CUC393220:CUE393220 DDY393220:DEA393220 DNU393220:DNW393220 DXQ393220:DXS393220 EHM393220:EHO393220 ERI393220:ERK393220 FBE393220:FBG393220 FLA393220:FLC393220 FUW393220:FUY393220 GES393220:GEU393220 GOO393220:GOQ393220 GYK393220:GYM393220 HIG393220:HII393220 HSC393220:HSE393220 IBY393220:ICA393220 ILU393220:ILW393220 IVQ393220:IVS393220 JFM393220:JFO393220 JPI393220:JPK393220 JZE393220:JZG393220 KJA393220:KJC393220 KSW393220:KSY393220 LCS393220:LCU393220 LMO393220:LMQ393220 LWK393220:LWM393220 MGG393220:MGI393220 MQC393220:MQE393220 MZY393220:NAA393220 NJU393220:NJW393220 NTQ393220:NTS393220 ODM393220:ODO393220 ONI393220:ONK393220 OXE393220:OXG393220 PHA393220:PHC393220 PQW393220:PQY393220 QAS393220:QAU393220 QKO393220:QKQ393220 QUK393220:QUM393220 REG393220:REI393220 ROC393220:ROE393220 RXY393220:RYA393220 SHU393220:SHW393220 SRQ393220:SRS393220 TBM393220:TBO393220 TLI393220:TLK393220 TVE393220:TVG393220 UFA393220:UFC393220 UOW393220:UOY393220 UYS393220:UYU393220 VIO393220:VIQ393220 VSK393220:VSM393220 WCG393220:WCI393220 WMC393220:WME393220 WVY393220:WWA393220 Q458756:S458756 JM458756:JO458756 TI458756:TK458756 ADE458756:ADG458756 ANA458756:ANC458756 AWW458756:AWY458756 BGS458756:BGU458756 BQO458756:BQQ458756 CAK458756:CAM458756 CKG458756:CKI458756 CUC458756:CUE458756 DDY458756:DEA458756 DNU458756:DNW458756 DXQ458756:DXS458756 EHM458756:EHO458756 ERI458756:ERK458756 FBE458756:FBG458756 FLA458756:FLC458756 FUW458756:FUY458756 GES458756:GEU458756 GOO458756:GOQ458756 GYK458756:GYM458756 HIG458756:HII458756 HSC458756:HSE458756 IBY458756:ICA458756 ILU458756:ILW458756 IVQ458756:IVS458756 JFM458756:JFO458756 JPI458756:JPK458756 JZE458756:JZG458756 KJA458756:KJC458756 KSW458756:KSY458756 LCS458756:LCU458756 LMO458756:LMQ458756 LWK458756:LWM458756 MGG458756:MGI458756 MQC458756:MQE458756 MZY458756:NAA458756 NJU458756:NJW458756 NTQ458756:NTS458756 ODM458756:ODO458756 ONI458756:ONK458756 OXE458756:OXG458756 PHA458756:PHC458756 PQW458756:PQY458756 QAS458756:QAU458756 QKO458756:QKQ458756 QUK458756:QUM458756 REG458756:REI458756 ROC458756:ROE458756 RXY458756:RYA458756 SHU458756:SHW458756 SRQ458756:SRS458756 TBM458756:TBO458756 TLI458756:TLK458756 TVE458756:TVG458756 UFA458756:UFC458756 UOW458756:UOY458756 UYS458756:UYU458756 VIO458756:VIQ458756 VSK458756:VSM458756 WCG458756:WCI458756 WMC458756:WME458756 WVY458756:WWA458756 Q524292:S524292 JM524292:JO524292 TI524292:TK524292 ADE524292:ADG524292 ANA524292:ANC524292 AWW524292:AWY524292 BGS524292:BGU524292 BQO524292:BQQ524292 CAK524292:CAM524292 CKG524292:CKI524292 CUC524292:CUE524292 DDY524292:DEA524292 DNU524292:DNW524292 DXQ524292:DXS524292 EHM524292:EHO524292 ERI524292:ERK524292 FBE524292:FBG524292 FLA524292:FLC524292 FUW524292:FUY524292 GES524292:GEU524292 GOO524292:GOQ524292 GYK524292:GYM524292 HIG524292:HII524292 HSC524292:HSE524292 IBY524292:ICA524292 ILU524292:ILW524292 IVQ524292:IVS524292 JFM524292:JFO524292 JPI524292:JPK524292 JZE524292:JZG524292 KJA524292:KJC524292 KSW524292:KSY524292 LCS524292:LCU524292 LMO524292:LMQ524292 LWK524292:LWM524292 MGG524292:MGI524292 MQC524292:MQE524292 MZY524292:NAA524292 NJU524292:NJW524292 NTQ524292:NTS524292 ODM524292:ODO524292 ONI524292:ONK524292 OXE524292:OXG524292 PHA524292:PHC524292 PQW524292:PQY524292 QAS524292:QAU524292 QKO524292:QKQ524292 QUK524292:QUM524292 REG524292:REI524292 ROC524292:ROE524292 RXY524292:RYA524292 SHU524292:SHW524292 SRQ524292:SRS524292 TBM524292:TBO524292 TLI524292:TLK524292 TVE524292:TVG524292 UFA524292:UFC524292 UOW524292:UOY524292 UYS524292:UYU524292 VIO524292:VIQ524292 VSK524292:VSM524292 WCG524292:WCI524292 WMC524292:WME524292 WVY524292:WWA524292 Q589828:S589828 JM589828:JO589828 TI589828:TK589828 ADE589828:ADG589828 ANA589828:ANC589828 AWW589828:AWY589828 BGS589828:BGU589828 BQO589828:BQQ589828 CAK589828:CAM589828 CKG589828:CKI589828 CUC589828:CUE589828 DDY589828:DEA589828 DNU589828:DNW589828 DXQ589828:DXS589828 EHM589828:EHO589828 ERI589828:ERK589828 FBE589828:FBG589828 FLA589828:FLC589828 FUW589828:FUY589828 GES589828:GEU589828 GOO589828:GOQ589828 GYK589828:GYM589828 HIG589828:HII589828 HSC589828:HSE589828 IBY589828:ICA589828 ILU589828:ILW589828 IVQ589828:IVS589828 JFM589828:JFO589828 JPI589828:JPK589828 JZE589828:JZG589828 KJA589828:KJC589828 KSW589828:KSY589828 LCS589828:LCU589828 LMO589828:LMQ589828 LWK589828:LWM589828 MGG589828:MGI589828 MQC589828:MQE589828 MZY589828:NAA589828 NJU589828:NJW589828 NTQ589828:NTS589828 ODM589828:ODO589828 ONI589828:ONK589828 OXE589828:OXG589828 PHA589828:PHC589828 PQW589828:PQY589828 QAS589828:QAU589828 QKO589828:QKQ589828 QUK589828:QUM589828 REG589828:REI589828 ROC589828:ROE589828 RXY589828:RYA589828 SHU589828:SHW589828 SRQ589828:SRS589828 TBM589828:TBO589828 TLI589828:TLK589828 TVE589828:TVG589828 UFA589828:UFC589828 UOW589828:UOY589828 UYS589828:UYU589828 VIO589828:VIQ589828 VSK589828:VSM589828 WCG589828:WCI589828 WMC589828:WME589828 WVY589828:WWA589828 Q655364:S655364 JM655364:JO655364 TI655364:TK655364 ADE655364:ADG655364 ANA655364:ANC655364 AWW655364:AWY655364 BGS655364:BGU655364 BQO655364:BQQ655364 CAK655364:CAM655364 CKG655364:CKI655364 CUC655364:CUE655364 DDY655364:DEA655364 DNU655364:DNW655364 DXQ655364:DXS655364 EHM655364:EHO655364 ERI655364:ERK655364 FBE655364:FBG655364 FLA655364:FLC655364 FUW655364:FUY655364 GES655364:GEU655364 GOO655364:GOQ655364 GYK655364:GYM655364 HIG655364:HII655364 HSC655364:HSE655364 IBY655364:ICA655364 ILU655364:ILW655364 IVQ655364:IVS655364 JFM655364:JFO655364 JPI655364:JPK655364 JZE655364:JZG655364 KJA655364:KJC655364 KSW655364:KSY655364 LCS655364:LCU655364 LMO655364:LMQ655364 LWK655364:LWM655364 MGG655364:MGI655364 MQC655364:MQE655364 MZY655364:NAA655364 NJU655364:NJW655364 NTQ655364:NTS655364 ODM655364:ODO655364 ONI655364:ONK655364 OXE655364:OXG655364 PHA655364:PHC655364 PQW655364:PQY655364 QAS655364:QAU655364 QKO655364:QKQ655364 QUK655364:QUM655364 REG655364:REI655364 ROC655364:ROE655364 RXY655364:RYA655364 SHU655364:SHW655364 SRQ655364:SRS655364 TBM655364:TBO655364 TLI655364:TLK655364 TVE655364:TVG655364 UFA655364:UFC655364 UOW655364:UOY655364 UYS655364:UYU655364 VIO655364:VIQ655364 VSK655364:VSM655364 WCG655364:WCI655364 WMC655364:WME655364 WVY655364:WWA655364 Q720900:S720900 JM720900:JO720900 TI720900:TK720900 ADE720900:ADG720900 ANA720900:ANC720900 AWW720900:AWY720900 BGS720900:BGU720900 BQO720900:BQQ720900 CAK720900:CAM720900 CKG720900:CKI720900 CUC720900:CUE720900 DDY720900:DEA720900 DNU720900:DNW720900 DXQ720900:DXS720900 EHM720900:EHO720900 ERI720900:ERK720900 FBE720900:FBG720900 FLA720900:FLC720900 FUW720900:FUY720900 GES720900:GEU720900 GOO720900:GOQ720900 GYK720900:GYM720900 HIG720900:HII720900 HSC720900:HSE720900 IBY720900:ICA720900 ILU720900:ILW720900 IVQ720900:IVS720900 JFM720900:JFO720900 JPI720900:JPK720900 JZE720900:JZG720900 KJA720900:KJC720900 KSW720900:KSY720900 LCS720900:LCU720900 LMO720900:LMQ720900 LWK720900:LWM720900 MGG720900:MGI720900 MQC720900:MQE720900 MZY720900:NAA720900 NJU720900:NJW720900 NTQ720900:NTS720900 ODM720900:ODO720900 ONI720900:ONK720900 OXE720900:OXG720900 PHA720900:PHC720900 PQW720900:PQY720900 QAS720900:QAU720900 QKO720900:QKQ720900 QUK720900:QUM720900 REG720900:REI720900 ROC720900:ROE720900 RXY720900:RYA720900 SHU720900:SHW720900 SRQ720900:SRS720900 TBM720900:TBO720900 TLI720900:TLK720900 TVE720900:TVG720900 UFA720900:UFC720900 UOW720900:UOY720900 UYS720900:UYU720900 VIO720900:VIQ720900 VSK720900:VSM720900 WCG720900:WCI720900 WMC720900:WME720900 WVY720900:WWA720900 Q786436:S786436 JM786436:JO786436 TI786436:TK786436 ADE786436:ADG786436 ANA786436:ANC786436 AWW786436:AWY786436 BGS786436:BGU786436 BQO786436:BQQ786436 CAK786436:CAM786436 CKG786436:CKI786436 CUC786436:CUE786436 DDY786436:DEA786436 DNU786436:DNW786436 DXQ786436:DXS786436 EHM786436:EHO786436 ERI786436:ERK786436 FBE786436:FBG786436 FLA786436:FLC786436 FUW786436:FUY786436 GES786436:GEU786436 GOO786436:GOQ786436 GYK786436:GYM786436 HIG786436:HII786436 HSC786436:HSE786436 IBY786436:ICA786436 ILU786436:ILW786436 IVQ786436:IVS786436 JFM786436:JFO786436 JPI786436:JPK786436 JZE786436:JZG786436 KJA786436:KJC786436 KSW786436:KSY786436 LCS786436:LCU786436 LMO786436:LMQ786436 LWK786436:LWM786436 MGG786436:MGI786436 MQC786436:MQE786436 MZY786436:NAA786436 NJU786436:NJW786436 NTQ786436:NTS786436 ODM786436:ODO786436 ONI786436:ONK786436 OXE786436:OXG786436 PHA786436:PHC786436 PQW786436:PQY786436 QAS786436:QAU786436 QKO786436:QKQ786436 QUK786436:QUM786436 REG786436:REI786436 ROC786436:ROE786436 RXY786436:RYA786436 SHU786436:SHW786436 SRQ786436:SRS786436 TBM786436:TBO786436 TLI786436:TLK786436 TVE786436:TVG786436 UFA786436:UFC786436 UOW786436:UOY786436 UYS786436:UYU786436 VIO786436:VIQ786436 VSK786436:VSM786436 WCG786436:WCI786436 WMC786436:WME786436 WVY786436:WWA786436 Q851972:S851972 JM851972:JO851972 TI851972:TK851972 ADE851972:ADG851972 ANA851972:ANC851972 AWW851972:AWY851972 BGS851972:BGU851972 BQO851972:BQQ851972 CAK851972:CAM851972 CKG851972:CKI851972 CUC851972:CUE851972 DDY851972:DEA851972 DNU851972:DNW851972 DXQ851972:DXS851972 EHM851972:EHO851972 ERI851972:ERK851972 FBE851972:FBG851972 FLA851972:FLC851972 FUW851972:FUY851972 GES851972:GEU851972 GOO851972:GOQ851972 GYK851972:GYM851972 HIG851972:HII851972 HSC851972:HSE851972 IBY851972:ICA851972 ILU851972:ILW851972 IVQ851972:IVS851972 JFM851972:JFO851972 JPI851972:JPK851972 JZE851972:JZG851972 KJA851972:KJC851972 KSW851972:KSY851972 LCS851972:LCU851972 LMO851972:LMQ851972 LWK851972:LWM851972 MGG851972:MGI851972 MQC851972:MQE851972 MZY851972:NAA851972 NJU851972:NJW851972 NTQ851972:NTS851972 ODM851972:ODO851972 ONI851972:ONK851972 OXE851972:OXG851972 PHA851972:PHC851972 PQW851972:PQY851972 QAS851972:QAU851972 QKO851972:QKQ851972 QUK851972:QUM851972 REG851972:REI851972 ROC851972:ROE851972 RXY851972:RYA851972 SHU851972:SHW851972 SRQ851972:SRS851972 TBM851972:TBO851972 TLI851972:TLK851972 TVE851972:TVG851972 UFA851972:UFC851972 UOW851972:UOY851972 UYS851972:UYU851972 VIO851972:VIQ851972 VSK851972:VSM851972 WCG851972:WCI851972 WMC851972:WME851972 WVY851972:WWA851972 Q917508:S917508 JM917508:JO917508 TI917508:TK917508 ADE917508:ADG917508 ANA917508:ANC917508 AWW917508:AWY917508 BGS917508:BGU917508 BQO917508:BQQ917508 CAK917508:CAM917508 CKG917508:CKI917508 CUC917508:CUE917508 DDY917508:DEA917508 DNU917508:DNW917508 DXQ917508:DXS917508 EHM917508:EHO917508 ERI917508:ERK917508 FBE917508:FBG917508 FLA917508:FLC917508 FUW917508:FUY917508 GES917508:GEU917508 GOO917508:GOQ917508 GYK917508:GYM917508 HIG917508:HII917508 HSC917508:HSE917508 IBY917508:ICA917508 ILU917508:ILW917508 IVQ917508:IVS917508 JFM917508:JFO917508 JPI917508:JPK917508 JZE917508:JZG917508 KJA917508:KJC917508 KSW917508:KSY917508 LCS917508:LCU917508 LMO917508:LMQ917508 LWK917508:LWM917508 MGG917508:MGI917508 MQC917508:MQE917508 MZY917508:NAA917508 NJU917508:NJW917508 NTQ917508:NTS917508 ODM917508:ODO917508 ONI917508:ONK917508 OXE917508:OXG917508 PHA917508:PHC917508 PQW917508:PQY917508 QAS917508:QAU917508 QKO917508:QKQ917508 QUK917508:QUM917508 REG917508:REI917508 ROC917508:ROE917508 RXY917508:RYA917508 SHU917508:SHW917508 SRQ917508:SRS917508 TBM917508:TBO917508 TLI917508:TLK917508 TVE917508:TVG917508 UFA917508:UFC917508 UOW917508:UOY917508 UYS917508:UYU917508 VIO917508:VIQ917508 VSK917508:VSM917508 WCG917508:WCI917508 WMC917508:WME917508 WVY917508:WWA917508 Q983044:S983044 JM983044:JO983044 TI983044:TK983044 ADE983044:ADG983044 ANA983044:ANC983044 AWW983044:AWY983044 BGS983044:BGU983044 BQO983044:BQQ983044 CAK983044:CAM983044 CKG983044:CKI983044 CUC983044:CUE983044 DDY983044:DEA983044 DNU983044:DNW983044 DXQ983044:DXS983044 EHM983044:EHO983044 ERI983044:ERK983044 FBE983044:FBG983044 FLA983044:FLC983044 FUW983044:FUY983044 GES983044:GEU983044 GOO983044:GOQ983044 GYK983044:GYM983044 HIG983044:HII983044 HSC983044:HSE983044 IBY983044:ICA983044 ILU983044:ILW983044 IVQ983044:IVS983044 JFM983044:JFO983044 JPI983044:JPK983044 JZE983044:JZG983044 KJA983044:KJC983044 KSW983044:KSY983044 LCS983044:LCU983044 LMO983044:LMQ983044 LWK983044:LWM983044 MGG983044:MGI983044 MQC983044:MQE983044 MZY983044:NAA983044 NJU983044:NJW983044 NTQ983044:NTS983044 ODM983044:ODO983044 ONI983044:ONK983044 OXE983044:OXG983044 PHA983044:PHC983044 PQW983044:PQY983044 QAS983044:QAU983044 QKO983044:QKQ983044 QUK983044:QUM983044 REG983044:REI983044 ROC983044:ROE983044 RXY983044:RYA983044 SHU983044:SHW983044 SRQ983044:SRS983044 TBM983044:TBO983044 TLI983044:TLK983044 TVE983044:TVG983044 UFA983044:UFC983044 UOW983044:UOY983044 UYS983044:UYU983044 VIO983044:VIQ983044 VSK983044:VSM983044 WCG983044:WCI983044 WMC983044:WME983044 WVY983044:WWA983044" xr:uid="{00000000-0002-0000-0100-000007000000}">
      <formula1>$Y$45:$Y$46</formula1>
    </dataValidation>
    <dataValidation type="list" allowBlank="1" showInputMessage="1" showErrorMessage="1" promptTitle="Confidence range" prompt="chose the required confidence range 95,45% oder 99,73% from the list." sqref="J4:K4" xr:uid="{00000000-0002-0000-0100-000008000000}">
      <formula1>$Y$50:$Y$51</formula1>
    </dataValidation>
    <dataValidation type="decimal" allowBlank="1" showInputMessage="1" showErrorMessage="1" errorTitle="obere Toleranz" error="positive Zahl eingeben" promptTitle="upper limit" prompt="insert positive value" sqref="R8:S8" xr:uid="{8060E28E-975F-45DE-94DC-EE9EF5400782}">
      <formula1>0</formula1>
      <formula2>9999</formula2>
    </dataValidation>
    <dataValidation type="decimal" allowBlank="1" showInputMessage="1" showErrorMessage="1" errorTitle="untere Toleranz" error="Zahl mit negativem Vorzeichen eingeben" promptTitle="lower limit" prompt="insert negative value" sqref="R9:S9" xr:uid="{5EE55A9A-B7C7-49BF-90B7-6202FFB30EDE}">
      <formula1>-99999</formula1>
      <formula2>0</formula2>
    </dataValidation>
    <dataValidation type="whole" allowBlank="1" showInputMessage="1" showErrorMessage="1" errorTitle="Test equipment No." error="Value invalid" sqref="J5:K5" xr:uid="{A384A979-9641-4383-9FC5-B6F7D799ABA9}">
      <formula1>0</formula1>
      <formula2>9999999999</formula2>
    </dataValidation>
  </dataValidations>
  <printOptions horizontalCentered="1" verticalCentered="1"/>
  <pageMargins left="0.78740157480314965" right="0.78740157480314965" top="0" bottom="0" header="0.51181102362204722" footer="0.51181102362204722"/>
  <pageSetup paperSize="9" scale="87" orientation="portrait" r:id="rId1"/>
  <headerFooter alignWithMargins="0">
    <oddFooter>&amp;LFB_PM_Messunsicherheit</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a7d8fb68-80b6-4345-93f2-ff0cc9ff6fa6" xsi:nil="true"/>
    <lcf76f155ced4ddcb4097134ff3c332f xmlns="7f63c3e0-fdcb-4b30-85cb-31e30d52226d">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068F2572844214FA75DA9F20FF60AA4" ma:contentTypeVersion="18" ma:contentTypeDescription="Create a new document." ma:contentTypeScope="" ma:versionID="e72ee8ac63151c945fcf39a3a7a041d1">
  <xsd:schema xmlns:xsd="http://www.w3.org/2001/XMLSchema" xmlns:xs="http://www.w3.org/2001/XMLSchema" xmlns:p="http://schemas.microsoft.com/office/2006/metadata/properties" xmlns:ns2="7f63c3e0-fdcb-4b30-85cb-31e30d52226d" xmlns:ns3="a7d8fb68-80b6-4345-93f2-ff0cc9ff6fa6" targetNamespace="http://schemas.microsoft.com/office/2006/metadata/properties" ma:root="true" ma:fieldsID="0116370a087b7b5aeebbdd8f6e9340b7" ns2:_="" ns3:_="">
    <xsd:import namespace="7f63c3e0-fdcb-4b30-85cb-31e30d52226d"/>
    <xsd:import namespace="a7d8fb68-80b6-4345-93f2-ff0cc9ff6f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63c3e0-fdcb-4b30-85cb-31e30d52226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19ce222-a724-4153-a250-9420caf305a1"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d8fb68-80b6-4345-93f2-ff0cc9ff6fa6"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310a68d-57d9-4235-a9b5-bf6d0f2f6198}" ma:internalName="TaxCatchAll" ma:showField="CatchAllData" ma:web="a7d8fb68-80b6-4345-93f2-ff0cc9ff6f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3094A73-7F3E-48D8-993A-2357C2267FAD}">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www.w3.org/XML/1998/namespace"/>
    <ds:schemaRef ds:uri="http://purl.org/dc/dcmitype/"/>
  </ds:schemaRefs>
</ds:datastoreItem>
</file>

<file path=customXml/itemProps2.xml><?xml version="1.0" encoding="utf-8"?>
<ds:datastoreItem xmlns:ds="http://schemas.openxmlformats.org/officeDocument/2006/customXml" ds:itemID="{C29EECFB-6B1F-434F-AC3A-071847BE1636}"/>
</file>

<file path=customXml/itemProps3.xml><?xml version="1.0" encoding="utf-8"?>
<ds:datastoreItem xmlns:ds="http://schemas.openxmlformats.org/officeDocument/2006/customXml" ds:itemID="{A5AF5141-47D8-4FF0-BED8-C51F8B7B35A4}">
  <ds:schemaRefs>
    <ds:schemaRef ds:uri="http://schemas.microsoft.com/sharepoint/v3/contenttype/forms"/>
  </ds:schemaRefs>
</ds:datastoreItem>
</file>

<file path=docMetadata/LabelInfo.xml><?xml version="1.0" encoding="utf-8"?>
<clbl:labelList xmlns:clbl="http://schemas.microsoft.com/office/2020/mipLabelMetadata">
  <clbl:label id="{3d921970-61b0-4443-b2b0-d966ab82c5d1}" enabled="1" method="Standard" siteId="{492ac175-0fcd-4d6c-8fde-e15c70d1986b}"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Measurement Uncertainty</vt:lpstr>
      <vt:lpstr>'Measurement Uncertainty'!Print_Area</vt:lpstr>
      <vt:lpstr>Overview!Print_Area</vt:lpstr>
    </vt:vector>
  </TitlesOfParts>
  <Company>Draexlmaier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Salazar Alfredo I-AM-IE1</dc:creator>
  <cp:keywords>Internal;Audit Plan;</cp:keywords>
  <dc:description>259;</dc:description>
  <cp:lastModifiedBy>Juhasz Levente-Istvan OC235</cp:lastModifiedBy>
  <cp:lastPrinted>2024-04-26T12:13:48Z</cp:lastPrinted>
  <dcterms:created xsi:type="dcterms:W3CDTF">2017-08-28T15:24:53Z</dcterms:created>
  <dcterms:modified xsi:type="dcterms:W3CDTF">2025-03-20T12:22:17Z</dcterms:modified>
  <cp:category>Produktenstehung managen Komponenten / creation of products components;Produktenstehung managen Interieur / creation of products interior;Produktenstehung managen Elektrik / creation of products electrical</cp:category>
  <cp:contentStatus>45;46;47;</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reationDate">
    <vt:lpwstr>02-03-2021</vt:lpwstr>
  </property>
  <property fmtid="{D5CDD505-2E9C-101B-9397-08002B2CF9AE}" pid="3" name="CreationName">
    <vt:lpwstr>ReischlChristianQI92</vt:lpwstr>
  </property>
  <property fmtid="{D5CDD505-2E9C-101B-9397-08002B2CF9AE}" pid="4" name="RevisionDate">
    <vt:lpwstr>02-03-2021</vt:lpwstr>
  </property>
  <property fmtid="{D5CDD505-2E9C-101B-9397-08002B2CF9AE}" pid="5" name="RevisionName">
    <vt:lpwstr>SpencerThomasQM2</vt:lpwstr>
  </property>
  <property fmtid="{D5CDD505-2E9C-101B-9397-08002B2CF9AE}" pid="6" name="CheckDate">
    <vt:lpwstr>02-03-2021</vt:lpwstr>
  </property>
  <property fmtid="{D5CDD505-2E9C-101B-9397-08002B2CF9AE}" pid="7" name="CheckName">
    <vt:lpwstr>Produktherstellenundausliefern&gt;Betriebsmittelmanagen</vt:lpwstr>
  </property>
  <property fmtid="{D5CDD505-2E9C-101B-9397-08002B2CF9AE}" pid="8" name="ValidationDate">
    <vt:lpwstr>02-03-2021</vt:lpwstr>
  </property>
  <property fmtid="{D5CDD505-2E9C-101B-9397-08002B2CF9AE}" pid="9" name="ValidationName">
    <vt:lpwstr>GerschewskiHendrikC-PO2</vt:lpwstr>
  </property>
  <property fmtid="{D5CDD505-2E9C-101B-9397-08002B2CF9AE}" pid="10" name="TranslationDate">
    <vt:lpwstr>11-03-2021</vt:lpwstr>
  </property>
  <property fmtid="{D5CDD505-2E9C-101B-9397-08002B2CF9AE}" pid="11" name="TranslationName">
    <vt:lpwstr>ReischlChristianQI92</vt:lpwstr>
  </property>
  <property fmtid="{D5CDD505-2E9C-101B-9397-08002B2CF9AE}" pid="12" name="TransValidationDate">
    <vt:lpwstr>11-03-2021</vt:lpwstr>
  </property>
  <property fmtid="{D5CDD505-2E9C-101B-9397-08002B2CF9AE}" pid="13" name="TransValidationName">
    <vt:lpwstr>GerschewskiHendrikC-PO2</vt:lpwstr>
  </property>
  <property fmtid="{D5CDD505-2E9C-101B-9397-08002B2CF9AE}" pid="14" name="ApplicationArea">
    <vt:lpwstr>Global</vt:lpwstr>
  </property>
  <property fmtid="{D5CDD505-2E9C-101B-9397-08002B2CF9AE}" pid="15" name="Version">
    <vt:lpwstr>5</vt:lpwstr>
  </property>
  <property fmtid="{D5CDD505-2E9C-101B-9397-08002B2CF9AE}" pid="16" name="ContentTypeId">
    <vt:lpwstr>0x0101001068F2572844214FA75DA9F20FF60AA4</vt:lpwstr>
  </property>
  <property fmtid="{D5CDD505-2E9C-101B-9397-08002B2CF9AE}" pid="17" name="MSIP_Label_3d921970-61b0-4443-b2b0-d966ab82c5d1_Enabled">
    <vt:lpwstr>true</vt:lpwstr>
  </property>
  <property fmtid="{D5CDD505-2E9C-101B-9397-08002B2CF9AE}" pid="18" name="MSIP_Label_3d921970-61b0-4443-b2b0-d966ab82c5d1_SetDate">
    <vt:lpwstr>2023-03-27T10:05:03Z</vt:lpwstr>
  </property>
  <property fmtid="{D5CDD505-2E9C-101B-9397-08002B2CF9AE}" pid="19" name="MSIP_Label_3d921970-61b0-4443-b2b0-d966ab82c5d1_Method">
    <vt:lpwstr>Standard</vt:lpwstr>
  </property>
  <property fmtid="{D5CDD505-2E9C-101B-9397-08002B2CF9AE}" pid="20" name="MSIP_Label_3d921970-61b0-4443-b2b0-d966ab82c5d1_Name">
    <vt:lpwstr>Internal</vt:lpwstr>
  </property>
  <property fmtid="{D5CDD505-2E9C-101B-9397-08002B2CF9AE}" pid="21" name="MSIP_Label_3d921970-61b0-4443-b2b0-d966ab82c5d1_SiteId">
    <vt:lpwstr>492ac175-0fcd-4d6c-8fde-e15c70d1986b</vt:lpwstr>
  </property>
  <property fmtid="{D5CDD505-2E9C-101B-9397-08002B2CF9AE}" pid="22" name="MSIP_Label_3d921970-61b0-4443-b2b0-d966ab82c5d1_ActionId">
    <vt:lpwstr>344f9d1f-914c-44d6-a4f6-dcdeb760371a</vt:lpwstr>
  </property>
  <property fmtid="{D5CDD505-2E9C-101B-9397-08002B2CF9AE}" pid="23" name="MSIP_Label_3d921970-61b0-4443-b2b0-d966ab82c5d1_ContentBits">
    <vt:lpwstr>2</vt:lpwstr>
  </property>
  <property fmtid="{D5CDD505-2E9C-101B-9397-08002B2CF9AE}" pid="24" name="Classification">
    <vt:lpwstr>Internal</vt:lpwstr>
  </property>
</Properties>
</file>