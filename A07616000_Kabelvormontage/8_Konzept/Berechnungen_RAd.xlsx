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Technischer_Vertrieb\20_Angebote\76xx\R07616_Dräxlmeier_Kabelvormontage\A07616000_Kabelvormontage\8_Konzept\"/>
    </mc:Choice>
  </mc:AlternateContent>
  <xr:revisionPtr revIDLastSave="0" documentId="8_{23B32EAE-5EE2-47D5-9F64-C5FD6B2AFCB8}" xr6:coauthVersionLast="47" xr6:coauthVersionMax="47" xr10:uidLastSave="{00000000-0000-0000-0000-000000000000}"/>
  <bookViews>
    <workbookView xWindow="-120" yWindow="-120" windowWidth="51840" windowHeight="21120" xr2:uid="{BA6D65D4-C007-43D6-B7F9-6DDD7360248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C18" i="1"/>
  <c r="B18" i="1"/>
  <c r="B12" i="1"/>
  <c r="B9" i="1"/>
</calcChain>
</file>

<file path=xl/sharedStrings.xml><?xml version="1.0" encoding="utf-8"?>
<sst xmlns="http://schemas.openxmlformats.org/spreadsheetml/2006/main" count="10" uniqueCount="10">
  <si>
    <t>A07616000A</t>
  </si>
  <si>
    <t xml:space="preserve">Teile pro Woche </t>
  </si>
  <si>
    <t>Schichten</t>
  </si>
  <si>
    <t>Tage</t>
  </si>
  <si>
    <t>Stunden pro Schicht</t>
  </si>
  <si>
    <t>Sekunden pro Stunde</t>
  </si>
  <si>
    <t>Geforderte Taktzeit</t>
  </si>
  <si>
    <t>OEE</t>
  </si>
  <si>
    <t>Kabel Querschitt</t>
  </si>
  <si>
    <t>Kabel Durchmesser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</si>
</sst>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F77E-6E2B-41DA-834B-A85139DA70DB}">
  <dimension ref="A1:D18"/>
  <sheetViews>
    <sheetView tabSelected="1" workbookViewId="0">
      <selection activeCell="C24" sqref="C24"/>
    </sheetView>
  </sheetViews>
  <sheetFormatPr baseColWidth="10" defaultRowHeight="15" x14ac:dyDescent="0.25"/>
  <cols>
    <col min="1" max="1" width="19.5703125" bestFit="1" customWidth="1"/>
  </cols>
  <sheetData>
    <row r="1" spans="1:2" x14ac:dyDescent="0.25">
      <c r="A1" t="s">
        <v>0</v>
      </c>
    </row>
    <row r="4" spans="1:2" x14ac:dyDescent="0.25">
      <c r="A4" t="s">
        <v>1</v>
      </c>
      <c r="B4" s="1">
        <v>52000</v>
      </c>
    </row>
    <row r="5" spans="1:2" x14ac:dyDescent="0.25">
      <c r="A5" t="s">
        <v>3</v>
      </c>
      <c r="B5">
        <v>5</v>
      </c>
    </row>
    <row r="6" spans="1:2" x14ac:dyDescent="0.25">
      <c r="A6" t="s">
        <v>2</v>
      </c>
      <c r="B6">
        <v>3</v>
      </c>
    </row>
    <row r="7" spans="1:2" x14ac:dyDescent="0.25">
      <c r="A7" t="s">
        <v>4</v>
      </c>
      <c r="B7">
        <v>7.5</v>
      </c>
    </row>
    <row r="8" spans="1:2" x14ac:dyDescent="0.25">
      <c r="A8" t="s">
        <v>5</v>
      </c>
      <c r="B8">
        <v>3600</v>
      </c>
    </row>
    <row r="9" spans="1:2" x14ac:dyDescent="0.25">
      <c r="B9">
        <f>(B8*B7*B6*B5)/B4</f>
        <v>7.7884615384615383</v>
      </c>
    </row>
    <row r="11" spans="1:2" x14ac:dyDescent="0.25">
      <c r="A11" t="s">
        <v>6</v>
      </c>
      <c r="B11">
        <v>6</v>
      </c>
    </row>
    <row r="12" spans="1:2" x14ac:dyDescent="0.25">
      <c r="A12" t="s">
        <v>7</v>
      </c>
      <c r="B12">
        <f>B11/B9</f>
        <v>0.77037037037037037</v>
      </c>
    </row>
    <row r="17" spans="1:4" x14ac:dyDescent="0.25">
      <c r="A17" t="s">
        <v>8</v>
      </c>
      <c r="B17">
        <v>16</v>
      </c>
      <c r="C17">
        <v>25</v>
      </c>
      <c r="D17">
        <v>35</v>
      </c>
    </row>
    <row r="18" spans="1:4" x14ac:dyDescent="0.25">
      <c r="A18" t="s">
        <v>9</v>
      </c>
      <c r="B18">
        <f>SQRT(B17/PI())*2</f>
        <v>4.5135166683820502</v>
      </c>
      <c r="C18">
        <f>SQRT(C17/PI())*2</f>
        <v>5.6418958354775626</v>
      </c>
      <c r="D18">
        <f>SQRT(D17/PI())*2</f>
        <v>6.6755811781245455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Radlbeck Ulrich</dc:creator>
  <cp:lastModifiedBy>Radlbeck Ulrich</cp:lastModifiedBy>
  <dcterms:created xsi:type="dcterms:W3CDTF">2025-04-11T06:22:31Z</dcterms:created>
  <dcterms:modified xsi:type="dcterms:W3CDTF">2025-04-11T06:29:53Z</dcterms:modified>
</cp:coreProperties>
</file>